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lan Economics" sheetId="3" state="visible" r:id="rId3"/>
    <sheet xmlns:r="http://schemas.openxmlformats.org/officeDocument/2006/relationships" name="Top-Up Economics" sheetId="4" state="visible" r:id="rId4"/>
    <sheet xmlns:r="http://schemas.openxmlformats.org/officeDocument/2006/relationships" name="Scenario Model" sheetId="5" state="visible" r:id="rId5"/>
    <sheet xmlns:r="http://schemas.openxmlformats.org/officeDocument/2006/relationships" name="Pilot Economics" sheetId="6" state="visible" r:id="rId6"/>
    <sheet xmlns:r="http://schemas.openxmlformats.org/officeDocument/2006/relationships" name="Burn Rates" sheetId="7" state="visible" r:id="rId7"/>
    <sheet xmlns:r="http://schemas.openxmlformats.org/officeDocument/2006/relationships" name="Billing Rules" sheetId="8" state="visible" r:id="rId8"/>
    <sheet xmlns:r="http://schemas.openxmlformats.org/officeDocument/2006/relationships" name="Stripe Pricebook" sheetId="9" state="visible" r:id="rId9"/>
    <sheet xmlns:r="http://schemas.openxmlformats.org/officeDocument/2006/relationships" name="Audit Controls" sheetId="10" state="visible" r:id="rId10"/>
    <sheet xmlns:r="http://schemas.openxmlformats.org/officeDocument/2006/relationships" name="Source Register" sheetId="11" state="visible" r:id="rId11"/>
  </sheets>
  <definedNames>
    <definedName name="_xlnm._FilterDatabase" localSheetId="0" hidden="1">'Sign-Off Summary'!$A$4:$L$12</definedName>
    <definedName name="_xlnm._FilterDatabase" localSheetId="1" hidden="1">'Assumptions'!$A$4:$H$28</definedName>
    <definedName name="_xlnm._FilterDatabase" localSheetId="2" hidden="1">'Plan Economics'!$A$4:$T$9</definedName>
    <definedName name="_xlnm._FilterDatabase" localSheetId="3" hidden="1">'Top-Up Economics'!$A$4:$N$14</definedName>
    <definedName name="_xlnm._FilterDatabase" localSheetId="4" hidden="1">'Scenario Model'!$A$4:$N$7</definedName>
    <definedName name="_xlnm._FilterDatabase" localSheetId="5" hidden="1">'Pilot Economics'!$A$4:$L$12</definedName>
    <definedName name="_xlnm._FilterDatabase" localSheetId="6" hidden="1">'Burn Rates'!$A$4:$J$14</definedName>
    <definedName name="_xlnm._FilterDatabase" localSheetId="7" hidden="1">'Billing Rules'!$A$4:$G$18</definedName>
    <definedName name="_xlnm._FilterDatabase" localSheetId="8" hidden="1">'Stripe Pricebook'!$A$4:$I$22</definedName>
    <definedName name="_xlnm._FilterDatabase" localSheetId="9" hidden="1">'Audit Controls'!$A$4:$G$14</definedName>
    <definedName name="_xlnm._FilterDatabase" localSheetId="10" hidden="1">'Source Register'!$A$4:$F$20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£#,##0.00;[Red](£#,##0.00);-"/>
    <numFmt numFmtId="165" formatCode="#,##0;[Red](#,##0);-"/>
    <numFmt numFmtId="166" formatCode="0.0%"/>
    <numFmt numFmtId="167" formatCode="£0.0000"/>
    <numFmt numFmtId="168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2630"/>
    </font>
    <font>
      <b val="1"/>
      <color rgb="001F2630"/>
    </font>
    <font>
      <b val="1"/>
      <color rgb="00FFFFFF"/>
    </font>
    <font>
      <color rgb="000000FF"/>
    </font>
    <font>
      <color rgb="00008000"/>
    </font>
    <font>
      <b val="1"/>
    </font>
    <font>
      <color rgb="00008000"/>
      <u val="single"/>
    </font>
  </fonts>
  <fills count="8">
    <fill>
      <patternFill/>
    </fill>
    <fill>
      <patternFill patternType="gray125"/>
    </fill>
    <fill>
      <patternFill patternType="solid">
        <fgColor rgb="0013263D"/>
      </patternFill>
    </fill>
    <fill>
      <patternFill patternType="solid">
        <fgColor rgb="00DCE6F1"/>
      </patternFill>
    </fill>
    <fill>
      <patternFill patternType="solid">
        <fgColor rgb="00E7F6ED"/>
      </patternFill>
    </fill>
    <fill>
      <patternFill patternType="solid">
        <fgColor rgb="006B55C7"/>
      </patternFill>
    </fill>
    <fill>
      <patternFill patternType="solid">
        <fgColor rgb="00FFF0D1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13263D"/>
      </bottom>
    </border>
    <border>
      <bottom style="hair">
        <color rgb="00E5E9E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167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6" fontId="0" fillId="4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  <xf numFmtId="168" fontId="0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Official: https://www.gov.uk/vat-rates</t>
      </text>
    </comment>
    <comment ref="B6" authorId="0" shapeId="0">
      <text>
        <t>Official: https://stripe.com/gb/pricing</t>
      </text>
    </comment>
    <comment ref="B7" authorId="0" shapeId="0">
      <text>
        <t>Official: https://stripe.com/gb/pricing</t>
      </text>
    </comment>
    <comment ref="B8" authorId="0" shapeId="0">
      <text>
        <t>Official: https://stripe.com/gb/billing/pricing</t>
      </text>
    </comment>
    <comment ref="B9" authorId="0" shapeId="0">
      <text>
        <t>Official list price source: https://www.twilio.com/en-us/sms/pricing/gb. Commercial reserve includes buffer.</t>
      </text>
    </comment>
    <comment ref="B11" authorId="0" shapeId="0">
      <text>
        <t>Resend Marketing is contact-based. This per-recipient reserve assumes a provider-neutral send-based Campaign adapter, not shared Broadcast Contacts.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1" customWidth="1" min="4" max="4"/>
    <col width="13" customWidth="1" min="5" max="5"/>
    <col width="11" customWidth="1" min="6" max="6"/>
    <col width="10" customWidth="1" min="7" max="7"/>
    <col width="10" customWidth="1" min="8" max="8"/>
    <col width="14" customWidth="1" min="9" max="9"/>
    <col width="10" customWidth="1" min="10" max="10"/>
    <col width="21" customWidth="1" min="11" max="11"/>
    <col width="14" customWidth="1" min="12" max="12"/>
  </cols>
  <sheetData>
    <row r="1" ht="29" customHeight="1">
      <c r="A1" s="1" t="inlineStr">
        <is>
          <t>Tummly UK Pricing &amp; Billing — Production Sign-off v3.0</t>
        </is>
      </c>
    </row>
    <row r="2" ht="38" customHeight="1">
      <c r="A2" s="2" t="inlineStr">
        <is>
          <t>APPROVED FOR DEVELOPMENT · UK only · GBP · 20% VAT · Audited 2026-08-06</t>
        </is>
      </c>
    </row>
    <row r="4">
      <c r="A4" s="3" t="inlineStr">
        <is>
          <t>Plan</t>
        </is>
      </c>
      <c r="B4" s="3" t="inlineStr">
        <is>
          <t>Billing</t>
        </is>
      </c>
      <c r="C4" s="3" t="inlineStr">
        <is>
          <t>Net price</t>
        </is>
      </c>
      <c r="D4" s="3" t="inlineStr">
        <is>
          <t>VAT</t>
        </is>
      </c>
      <c r="E4" s="3" t="inlineStr">
        <is>
          <t>Gross</t>
        </is>
      </c>
      <c r="F4" s="3" t="inlineStr">
        <is>
          <t>Locations</t>
        </is>
      </c>
      <c r="G4" s="3" t="inlineStr">
        <is>
          <t>Users</t>
        </is>
      </c>
      <c r="H4" s="3" t="inlineStr">
        <is>
          <t>AI</t>
        </is>
      </c>
      <c r="I4" s="3" t="inlineStr">
        <is>
          <t>Email</t>
        </is>
      </c>
      <c r="J4" s="3" t="inlineStr">
        <is>
          <t>SMS</t>
        </is>
      </c>
      <c r="K4" s="3" t="inlineStr">
        <is>
          <t>Starter kit</t>
        </is>
      </c>
      <c r="L4" s="3" t="inlineStr">
        <is>
          <t>Status</t>
        </is>
      </c>
    </row>
    <row r="5">
      <c r="A5" s="4" t="inlineStr">
        <is>
          <t>Pilot</t>
        </is>
      </c>
      <c r="B5" s="4" t="inlineStr">
        <is>
          <t>30 days</t>
        </is>
      </c>
      <c r="C5" s="5" t="n">
        <v>0</v>
      </c>
      <c r="D5" s="5" t="n">
        <v>0</v>
      </c>
      <c r="E5" s="5" t="n">
        <v>0</v>
      </c>
      <c r="F5" s="6" t="n">
        <v>1</v>
      </c>
      <c r="G5" s="6" t="n">
        <v>2</v>
      </c>
      <c r="H5" s="6" t="n">
        <v>20</v>
      </c>
      <c r="I5" s="6" t="n">
        <v>500</v>
      </c>
      <c r="J5" s="6" t="n">
        <v>20</v>
      </c>
      <c r="K5" s="4" t="inlineStr">
        <is>
          <t>One/account lifetime</t>
        </is>
      </c>
      <c r="L5" s="7" t="inlineStr">
        <is>
          <t>Approved</t>
        </is>
      </c>
    </row>
    <row r="6">
      <c r="A6" s="4" t="inlineStr">
        <is>
          <t>Starter</t>
        </is>
      </c>
      <c r="B6" s="4" t="inlineStr">
        <is>
          <t>Monthly</t>
        </is>
      </c>
      <c r="C6" s="5" t="n">
        <v>39</v>
      </c>
      <c r="D6" s="5" t="n">
        <v>7.8</v>
      </c>
      <c r="E6" s="5" t="n">
        <v>46.8</v>
      </c>
      <c r="F6" s="6" t="n">
        <v>1</v>
      </c>
      <c r="G6" s="6" t="n">
        <v>3</v>
      </c>
      <c r="H6" s="6" t="n">
        <v>100</v>
      </c>
      <c r="I6" s="6" t="n">
        <v>2500</v>
      </c>
      <c r="J6" s="6" t="n">
        <v>100</v>
      </c>
      <c r="K6" s="4" t="inlineStr">
        <is>
          <t>If not used in Pilot</t>
        </is>
      </c>
      <c r="L6" s="7" t="inlineStr">
        <is>
          <t>Approved</t>
        </is>
      </c>
    </row>
    <row r="7">
      <c r="A7" s="4" t="inlineStr">
        <is>
          <t>Growth</t>
        </is>
      </c>
      <c r="B7" s="4" t="inlineStr">
        <is>
          <t>Monthly</t>
        </is>
      </c>
      <c r="C7" s="5" t="n">
        <v>99</v>
      </c>
      <c r="D7" s="5" t="n">
        <v>19.8</v>
      </c>
      <c r="E7" s="5" t="n">
        <v>118.8</v>
      </c>
      <c r="F7" s="6" t="n">
        <v>3</v>
      </c>
      <c r="G7" s="6" t="n">
        <v>10</v>
      </c>
      <c r="H7" s="6" t="n">
        <v>500</v>
      </c>
      <c r="I7" s="6" t="n">
        <v>10000</v>
      </c>
      <c r="J7" s="6" t="n">
        <v>350</v>
      </c>
      <c r="K7" s="4" t="inlineStr">
        <is>
          <t>If not used in Pilot</t>
        </is>
      </c>
      <c r="L7" s="7" t="inlineStr">
        <is>
          <t>Approved</t>
        </is>
      </c>
    </row>
    <row r="8">
      <c r="A8" s="4" t="inlineStr">
        <is>
          <t>Group</t>
        </is>
      </c>
      <c r="B8" s="4" t="inlineStr">
        <is>
          <t>Monthly</t>
        </is>
      </c>
      <c r="C8" s="5" t="n">
        <v>199</v>
      </c>
      <c r="D8" s="5" t="n">
        <v>39.8</v>
      </c>
      <c r="E8" s="5" t="n">
        <v>238.8</v>
      </c>
      <c r="F8" s="6" t="n">
        <v>5</v>
      </c>
      <c r="G8" s="6" t="n">
        <v>25</v>
      </c>
      <c r="H8" s="6" t="n">
        <v>1500</v>
      </c>
      <c r="I8" s="6" t="n">
        <v>25000</v>
      </c>
      <c r="J8" s="6" t="n">
        <v>700</v>
      </c>
      <c r="K8" s="4" t="inlineStr">
        <is>
          <t>If not used in Pilot</t>
        </is>
      </c>
      <c r="L8" s="7" t="inlineStr">
        <is>
          <t>Approved</t>
        </is>
      </c>
    </row>
    <row r="9">
      <c r="A9" s="4" t="inlineStr">
        <is>
          <t>Additional Group Location</t>
        </is>
      </c>
      <c r="B9" s="4" t="inlineStr">
        <is>
          <t>Monthly</t>
        </is>
      </c>
      <c r="C9" s="5" t="n">
        <v>39</v>
      </c>
      <c r="D9" s="5" t="n">
        <v>7.8</v>
      </c>
      <c r="E9" s="5" t="n">
        <v>46.8</v>
      </c>
      <c r="F9" s="6" t="n">
        <v>1</v>
      </c>
      <c r="G9" s="6" t="n">
        <v>2</v>
      </c>
      <c r="H9" s="6" t="n">
        <v>100</v>
      </c>
      <c r="I9" s="6" t="n">
        <v>5000</v>
      </c>
      <c r="J9" s="6" t="n">
        <v>100</v>
      </c>
      <c r="K9" s="4" t="inlineStr">
        <is>
          <t>No extra free kit</t>
        </is>
      </c>
      <c r="L9" s="7" t="inlineStr">
        <is>
          <t>Approved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8" t="inlineStr">
        <is>
          <t>Development instruction</t>
        </is>
      </c>
      <c r="B12" s="9" t="inlineStr">
        <is>
          <t>Proceed. Do not wait for another commercial decision. Campaign Email must use the provider adapter and must not use shared Resend Broadcast Contacts as tenant guest truth.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</sheetData>
  <autoFilter ref="A4:L12"/>
  <mergeCells count="3">
    <mergeCell ref="A2:L2"/>
    <mergeCell ref="B12:L12"/>
    <mergeCell ref="A1:L1"/>
  </mergeCells>
  <pageMargins left="0.25" right="0.25" top="0.35" bottom="0.35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0" customWidth="1" min="4" max="4"/>
    <col width="27" customWidth="1" min="5" max="5"/>
    <col width="62" customWidth="1" min="6" max="6"/>
    <col width="20" customWidth="1" min="7" max="7"/>
    <col width="45" customWidth="1" min="8" max="8"/>
  </cols>
  <sheetData>
    <row r="1" ht="29" customHeight="1">
      <c r="A1" s="1" t="inlineStr">
        <is>
          <t>Commercial, Cost and Scenario Assumptions</t>
        </is>
      </c>
    </row>
    <row r="2" ht="38" customHeight="1">
      <c r="A2" s="2" t="inlineStr">
        <is>
          <t>Blue text is a hardcoded commercial input. Green source cells cite current official or internal references. Yellow cells are factual deployment values.</t>
        </is>
      </c>
    </row>
    <row r="4">
      <c r="A4" s="3" t="inlineStr">
        <is>
          <t>Key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Status</t>
        </is>
      </c>
      <c r="E4" s="3" t="inlineStr">
        <is>
          <t>Purpose</t>
        </is>
      </c>
      <c r="F4" s="3" t="inlineStr">
        <is>
          <t>Source</t>
        </is>
      </c>
      <c r="G4" s="3" t="inlineStr">
        <is>
          <t>Owner</t>
        </is>
      </c>
      <c r="H4" s="3" t="inlineStr">
        <is>
          <t>Notes</t>
        </is>
      </c>
    </row>
    <row r="5">
      <c r="A5" s="4" t="inlineStr">
        <is>
          <t>VAT_RATE</t>
        </is>
      </c>
      <c r="B5" s="10" t="n">
        <v>0.2</v>
      </c>
      <c r="C5" s="4" t="inlineStr">
        <is>
          <t>%</t>
        </is>
      </c>
      <c r="D5" s="7" t="inlineStr">
        <is>
          <t>Approved</t>
        </is>
      </c>
      <c r="E5" s="4" t="inlineStr">
        <is>
          <t>UK VAT</t>
        </is>
      </c>
      <c r="F5" s="11" t="inlineStr">
        <is>
          <t>https://www.gov.uk/vat-rates</t>
        </is>
      </c>
      <c r="G5" s="4" t="inlineStr">
        <is>
          <t>Amin</t>
        </is>
      </c>
      <c r="H5" s="4" t="inlineStr">
        <is>
          <t>Exclusive pricing</t>
        </is>
      </c>
    </row>
    <row r="6">
      <c r="A6" s="4" t="inlineStr">
        <is>
          <t>STRIPE_CARD_PCT</t>
        </is>
      </c>
      <c r="B6" s="10" t="n">
        <v>0.015</v>
      </c>
      <c r="C6" s="4" t="inlineStr">
        <is>
          <t>% gross</t>
        </is>
      </c>
      <c r="D6" s="7" t="inlineStr">
        <is>
          <t>External</t>
        </is>
      </c>
      <c r="E6" s="4" t="inlineStr">
        <is>
          <t>Payments</t>
        </is>
      </c>
      <c r="F6" s="11" t="inlineStr">
        <is>
          <t>https://stripe.com/gb/pricing</t>
        </is>
      </c>
      <c r="G6" s="4" t="inlineStr">
        <is>
          <t>Salman</t>
        </is>
      </c>
      <c r="H6" s="4" t="inlineStr">
        <is>
          <t>Standard UK cards</t>
        </is>
      </c>
    </row>
    <row r="7">
      <c r="A7" s="4" t="inlineStr">
        <is>
          <t>STRIPE_CARD_FIXED</t>
        </is>
      </c>
      <c r="B7" s="12" t="n">
        <v>0.2</v>
      </c>
      <c r="C7" s="4" t="inlineStr">
        <is>
          <t>GBP/payment</t>
        </is>
      </c>
      <c r="D7" s="7" t="inlineStr">
        <is>
          <t>External</t>
        </is>
      </c>
      <c r="E7" s="4" t="inlineStr">
        <is>
          <t>Payments</t>
        </is>
      </c>
      <c r="F7" s="11" t="inlineStr">
        <is>
          <t>https://stripe.com/gb/pricing</t>
        </is>
      </c>
      <c r="G7" s="4" t="inlineStr">
        <is>
          <t>Salman</t>
        </is>
      </c>
      <c r="H7" s="4" t="inlineStr">
        <is>
          <t>Per successful payment</t>
        </is>
      </c>
    </row>
    <row r="8">
      <c r="A8" s="4" t="inlineStr">
        <is>
          <t>STRIPE_BILLING_PCT</t>
        </is>
      </c>
      <c r="B8" s="10" t="n">
        <v>0.007</v>
      </c>
      <c r="C8" s="4" t="inlineStr">
        <is>
          <t>% Billing volume</t>
        </is>
      </c>
      <c r="D8" s="7" t="inlineStr">
        <is>
          <t>External</t>
        </is>
      </c>
      <c r="E8" s="4" t="inlineStr">
        <is>
          <t>Recurring billing</t>
        </is>
      </c>
      <c r="F8" s="11" t="inlineStr">
        <is>
          <t>https://stripe.com/gb/billing/pricing</t>
        </is>
      </c>
      <c r="G8" s="4" t="inlineStr">
        <is>
          <t>Salman</t>
        </is>
      </c>
      <c r="H8" s="4" t="inlineStr">
        <is>
          <t>Pay as you go</t>
        </is>
      </c>
    </row>
    <row r="9">
      <c r="A9" s="4" t="inlineStr">
        <is>
          <t>SMS_COST</t>
        </is>
      </c>
      <c r="B9" s="13" t="n">
        <v>0.06</v>
      </c>
      <c r="C9" s="4" t="inlineStr">
        <is>
          <t>GBP/segment</t>
        </is>
      </c>
      <c r="D9" s="7" t="inlineStr">
        <is>
          <t>Approved reserve</t>
        </is>
      </c>
      <c r="E9" s="4" t="inlineStr">
        <is>
          <t>SMS COGS</t>
        </is>
      </c>
      <c r="F9" s="11" t="inlineStr">
        <is>
          <t>https://www.twilio.com/en-us/sms/pricing/gb</t>
        </is>
      </c>
      <c r="G9" s="4" t="inlineStr">
        <is>
          <t>Amin</t>
        </is>
      </c>
      <c r="H9" s="4" t="inlineStr">
        <is>
          <t>Includes FX/carrier variance buffer</t>
        </is>
      </c>
    </row>
    <row r="10">
      <c r="A10" s="4" t="inlineStr">
        <is>
          <t>AI_COST</t>
        </is>
      </c>
      <c r="B10" s="13" t="n">
        <v>0.003</v>
      </c>
      <c r="C10" s="4" t="inlineStr">
        <is>
          <t>GBP/action</t>
        </is>
      </c>
      <c r="D10" s="7" t="inlineStr">
        <is>
          <t>Approved reserve</t>
        </is>
      </c>
      <c r="E10" s="4" t="inlineStr">
        <is>
          <t>AI COGS</t>
        </is>
      </c>
      <c r="F10" s="11" t="inlineStr">
        <is>
          <t>Tummly channel cost analysis</t>
        </is>
      </c>
      <c r="G10" s="4" t="inlineStr">
        <is>
          <t>Amin</t>
        </is>
      </c>
      <c r="H10" s="4" t="inlineStr">
        <is>
          <t>Blended completed action</t>
        </is>
      </c>
    </row>
    <row r="11">
      <c r="A11" s="4" t="inlineStr">
        <is>
          <t>EMAIL_COST</t>
        </is>
      </c>
      <c r="B11" s="13" t="n">
        <v>0.001</v>
      </c>
      <c r="C11" s="4" t="inlineStr">
        <is>
          <t>GBP/recipient</t>
        </is>
      </c>
      <c r="D11" s="7" t="inlineStr">
        <is>
          <t>Approved reserve</t>
        </is>
      </c>
      <c r="E11" s="4" t="inlineStr">
        <is>
          <t>Email COGS</t>
        </is>
      </c>
      <c r="F11" s="11" t="inlineStr">
        <is>
          <t>Tummly channel cost analysis + provider adapter buffer</t>
        </is>
      </c>
      <c r="G11" s="4" t="inlineStr">
        <is>
          <t>Amin</t>
        </is>
      </c>
      <c r="H11" s="4" t="inlineStr">
        <is>
          <t>Not Resend Broadcast contact pricing</t>
        </is>
      </c>
    </row>
    <row r="12">
      <c r="A12" s="4" t="inlineStr">
        <is>
          <t>BASE_SUPPORT_ACCOUNT</t>
        </is>
      </c>
      <c r="B12" s="12" t="n">
        <v>10</v>
      </c>
      <c r="C12" s="4" t="inlineStr">
        <is>
          <t>GBP/account-month</t>
        </is>
      </c>
      <c r="D12" s="7" t="inlineStr">
        <is>
          <t>Internal budget</t>
        </is>
      </c>
      <c r="E12" s="4" t="inlineStr">
        <is>
          <t>Support/ops</t>
        </is>
      </c>
      <c r="F12" s="11" t="inlineStr">
        <is>
          <t>Commercial planning budget</t>
        </is>
      </c>
      <c r="G12" s="4" t="inlineStr">
        <is>
          <t>Amin</t>
        </is>
      </c>
      <c r="H12" s="4" t="inlineStr">
        <is>
          <t>Base scenario</t>
        </is>
      </c>
    </row>
    <row r="13">
      <c r="A13" s="4" t="inlineStr">
        <is>
          <t>BASE_SUPPORT_LOCATION</t>
        </is>
      </c>
      <c r="B13" s="12" t="n">
        <v>4</v>
      </c>
      <c r="C13" s="4" t="inlineStr">
        <is>
          <t>GBP/additional location-month</t>
        </is>
      </c>
      <c r="D13" s="7" t="inlineStr">
        <is>
          <t>Internal budget</t>
        </is>
      </c>
      <c r="E13" s="4" t="inlineStr">
        <is>
          <t>Support/ops</t>
        </is>
      </c>
      <c r="F13" s="11" t="inlineStr">
        <is>
          <t>Commercial planning budget</t>
        </is>
      </c>
      <c r="G13" s="4" t="inlineStr">
        <is>
          <t>Amin</t>
        </is>
      </c>
      <c r="H13" s="4" t="inlineStr">
        <is>
          <t>Base scenario</t>
        </is>
      </c>
    </row>
    <row r="14">
      <c r="A14" s="4" t="inlineStr">
        <is>
          <t>LOW_PLATFORM_FIXED</t>
        </is>
      </c>
      <c r="B14" s="12" t="n">
        <v>250</v>
      </c>
      <c r="C14" s="4" t="inlineStr">
        <is>
          <t>GBP/month</t>
        </is>
      </c>
      <c r="D14" s="7" t="inlineStr">
        <is>
          <t>Scenario</t>
        </is>
      </c>
      <c r="E14" s="4" t="inlineStr">
        <is>
          <t>Shared platform</t>
        </is>
      </c>
      <c r="F14" s="11" t="inlineStr">
        <is>
          <t>Commercial stress test</t>
        </is>
      </c>
      <c r="G14" s="4" t="inlineStr">
        <is>
          <t>Amin</t>
        </is>
      </c>
      <c r="H14" s="4" t="inlineStr">
        <is>
          <t>Low</t>
        </is>
      </c>
    </row>
    <row r="15">
      <c r="A15" s="4" t="inlineStr">
        <is>
          <t>BASE_PLATFORM_FIXED</t>
        </is>
      </c>
      <c r="B15" s="12" t="n">
        <v>500</v>
      </c>
      <c r="C15" s="4" t="inlineStr">
        <is>
          <t>GBP/month</t>
        </is>
      </c>
      <c r="D15" s="7" t="inlineStr">
        <is>
          <t>Scenario</t>
        </is>
      </c>
      <c r="E15" s="4" t="inlineStr">
        <is>
          <t>Shared platform</t>
        </is>
      </c>
      <c r="F15" s="11" t="inlineStr">
        <is>
          <t>Commercial stress test</t>
        </is>
      </c>
      <c r="G15" s="4" t="inlineStr">
        <is>
          <t>Amin</t>
        </is>
      </c>
      <c r="H15" s="4" t="inlineStr">
        <is>
          <t>Base</t>
        </is>
      </c>
    </row>
    <row r="16">
      <c r="A16" s="4" t="inlineStr">
        <is>
          <t>HIGH_PLATFORM_FIXED</t>
        </is>
      </c>
      <c r="B16" s="12" t="n">
        <v>1000</v>
      </c>
      <c r="C16" s="4" t="inlineStr">
        <is>
          <t>GBP/month</t>
        </is>
      </c>
      <c r="D16" s="7" t="inlineStr">
        <is>
          <t>Scenario</t>
        </is>
      </c>
      <c r="E16" s="4" t="inlineStr">
        <is>
          <t>Shared platform</t>
        </is>
      </c>
      <c r="F16" s="11" t="inlineStr">
        <is>
          <t>Commercial stress test</t>
        </is>
      </c>
      <c r="G16" s="4" t="inlineStr">
        <is>
          <t>Amin</t>
        </is>
      </c>
      <c r="H16" s="4" t="inlineStr">
        <is>
          <t>High</t>
        </is>
      </c>
    </row>
    <row r="17">
      <c r="A17" s="4" t="inlineStr">
        <is>
          <t>EXPECTED_USAGE</t>
        </is>
      </c>
      <c r="B17" s="10" t="n">
        <v>0.5</v>
      </c>
      <c r="C17" s="4" t="inlineStr">
        <is>
          <t>% allowance</t>
        </is>
      </c>
      <c r="D17" s="7" t="inlineStr">
        <is>
          <t>Scenario</t>
        </is>
      </c>
      <c r="E17" s="4" t="inlineStr">
        <is>
          <t>Expected use</t>
        </is>
      </c>
      <c r="F17" s="11" t="inlineStr">
        <is>
          <t>Commercial planning</t>
        </is>
      </c>
      <c r="G17" s="4" t="inlineStr">
        <is>
          <t>Amin</t>
        </is>
      </c>
      <c r="H17" s="4" t="inlineStr">
        <is>
          <t>Base</t>
        </is>
      </c>
    </row>
    <row r="18">
      <c r="A18" s="4" t="inlineStr">
        <is>
          <t>ANNUAL_DISCOUNT</t>
        </is>
      </c>
      <c r="B18" s="10" t="n">
        <v>0.15</v>
      </c>
      <c r="C18" s="4" t="inlineStr">
        <is>
          <t>%</t>
        </is>
      </c>
      <c r="D18" s="7" t="inlineStr">
        <is>
          <t>Approved</t>
        </is>
      </c>
      <c r="E18" s="4" t="inlineStr">
        <is>
          <t>Annual price</t>
        </is>
      </c>
      <c r="F18" s="11" t="inlineStr">
        <is>
          <t>Commercial policy</t>
        </is>
      </c>
      <c r="G18" s="4" t="inlineStr">
        <is>
          <t>Amin</t>
        </is>
      </c>
      <c r="H18" s="4" t="inlineStr">
        <is>
          <t>Rounded whole-pound public price</t>
        </is>
      </c>
    </row>
    <row r="19">
      <c r="A19" s="4" t="inlineStr">
        <is>
          <t>KIT_COST_CAP</t>
        </is>
      </c>
      <c r="B19" s="12" t="n">
        <v>25</v>
      </c>
      <c r="C19" s="4" t="inlineStr">
        <is>
          <t>GBP/kit</t>
        </is>
      </c>
      <c r="D19" s="7" t="inlineStr">
        <is>
          <t>Approved cap</t>
        </is>
      </c>
      <c r="E19" s="4" t="inlineStr">
        <is>
          <t>Pilot acquisition</t>
        </is>
      </c>
      <c r="F19" s="11" t="inlineStr">
        <is>
          <t>Commercial policy</t>
        </is>
      </c>
      <c r="G19" s="4" t="inlineStr">
        <is>
          <t>Amin</t>
        </is>
      </c>
      <c r="H19" s="4" t="inlineStr">
        <is>
          <t>One/account lifetime</t>
        </is>
      </c>
    </row>
    <row r="20">
      <c r="A20" s="4" t="inlineStr">
        <is>
          <t>PILOT_ONBOARDING</t>
        </is>
      </c>
      <c r="B20" s="12" t="n">
        <v>15</v>
      </c>
      <c r="C20" s="4" t="inlineStr">
        <is>
          <t>GBP/pilot</t>
        </is>
      </c>
      <c r="D20" s="7" t="inlineStr">
        <is>
          <t>Internal budget</t>
        </is>
      </c>
      <c r="E20" s="4" t="inlineStr">
        <is>
          <t>Pilot support</t>
        </is>
      </c>
      <c r="F20" s="11" t="inlineStr">
        <is>
          <t>Commercial planning</t>
        </is>
      </c>
      <c r="G20" s="4" t="inlineStr">
        <is>
          <t>Amin</t>
        </is>
      </c>
      <c r="H20" s="4" t="inlineStr">
        <is>
          <t>Base</t>
        </is>
      </c>
    </row>
    <row r="21">
      <c r="A21" s="4" t="inlineStr">
        <is>
          <t>PILOT_CONVERSION</t>
        </is>
      </c>
      <c r="B21" s="10" t="n">
        <v>0.25</v>
      </c>
      <c r="C21" s="4" t="inlineStr">
        <is>
          <t>%</t>
        </is>
      </c>
      <c r="D21" s="7" t="inlineStr">
        <is>
          <t>Target</t>
        </is>
      </c>
      <c r="E21" s="4" t="inlineStr">
        <is>
          <t>Pilot economics</t>
        </is>
      </c>
      <c r="F21" s="11" t="inlineStr">
        <is>
          <t>Commercial target</t>
        </is>
      </c>
      <c r="G21" s="4" t="inlineStr">
        <is>
          <t>Amin</t>
        </is>
      </c>
      <c r="H21" s="4" t="inlineStr">
        <is>
          <t>Review below 25%</t>
        </is>
      </c>
    </row>
    <row r="22">
      <c r="A22" s="4" t="inlineStr">
        <is>
          <t>STARTER_MIX</t>
        </is>
      </c>
      <c r="B22" s="10" t="n">
        <v>0.6</v>
      </c>
      <c r="C22" s="4" t="inlineStr">
        <is>
          <t>% paid accounts</t>
        </is>
      </c>
      <c r="D22" s="7" t="inlineStr">
        <is>
          <t>Scenario</t>
        </is>
      </c>
      <c r="E22" s="4" t="inlineStr">
        <is>
          <t>Plan mix</t>
        </is>
      </c>
      <c r="F22" s="11" t="inlineStr">
        <is>
          <t>Commercial planning</t>
        </is>
      </c>
      <c r="G22" s="4" t="inlineStr">
        <is>
          <t>Amin</t>
        </is>
      </c>
      <c r="H22" s="4" t="inlineStr">
        <is>
          <t>Must total 100%</t>
        </is>
      </c>
    </row>
    <row r="23">
      <c r="A23" s="4" t="inlineStr">
        <is>
          <t>GROWTH_MIX</t>
        </is>
      </c>
      <c r="B23" s="10" t="n">
        <v>0.3</v>
      </c>
      <c r="C23" s="4" t="inlineStr">
        <is>
          <t>% paid accounts</t>
        </is>
      </c>
      <c r="D23" s="7" t="inlineStr">
        <is>
          <t>Scenario</t>
        </is>
      </c>
      <c r="E23" s="4" t="inlineStr">
        <is>
          <t>Plan mix</t>
        </is>
      </c>
      <c r="F23" s="11" t="inlineStr">
        <is>
          <t>Commercial planning</t>
        </is>
      </c>
      <c r="G23" s="4" t="inlineStr">
        <is>
          <t>Amin</t>
        </is>
      </c>
      <c r="H23" s="4" t="inlineStr">
        <is>
          <t>Must total 100%</t>
        </is>
      </c>
    </row>
    <row r="24">
      <c r="A24" s="4" t="inlineStr">
        <is>
          <t>GROUP_MIX</t>
        </is>
      </c>
      <c r="B24" s="10" t="n">
        <v>0.1</v>
      </c>
      <c r="C24" s="4" t="inlineStr">
        <is>
          <t>% paid accounts</t>
        </is>
      </c>
      <c r="D24" s="7" t="inlineStr">
        <is>
          <t>Scenario</t>
        </is>
      </c>
      <c r="E24" s="4" t="inlineStr">
        <is>
          <t>Plan mix</t>
        </is>
      </c>
      <c r="F24" s="11" t="inlineStr">
        <is>
          <t>Commercial planning</t>
        </is>
      </c>
      <c r="G24" s="4" t="inlineStr">
        <is>
          <t>Amin</t>
        </is>
      </c>
      <c r="H24" s="4" t="inlineStr">
        <is>
          <t>Must total 100%</t>
        </is>
      </c>
    </row>
    <row r="25">
      <c r="A25" s="4" t="inlineStr">
        <is>
          <t>TOPUP_VALIDITY</t>
        </is>
      </c>
      <c r="B25" s="14" t="n">
        <v>12</v>
      </c>
      <c r="C25" s="4" t="inlineStr">
        <is>
          <t>months</t>
        </is>
      </c>
      <c r="D25" s="7" t="inlineStr">
        <is>
          <t>Approved</t>
        </is>
      </c>
      <c r="E25" s="4" t="inlineStr">
        <is>
          <t>Purchased credits</t>
        </is>
      </c>
      <c r="F25" s="11" t="inlineStr">
        <is>
          <t>Commercial policy</t>
        </is>
      </c>
      <c r="G25" s="4" t="inlineStr">
        <is>
          <t>Amin</t>
        </is>
      </c>
      <c r="H25" s="4" t="inlineStr">
        <is>
          <t>Earliest expiry first</t>
        </is>
      </c>
    </row>
    <row r="26">
      <c r="A26" s="4" t="inlineStr">
        <is>
          <t>DORMANT_RETENTION</t>
        </is>
      </c>
      <c r="B26" s="14" t="n">
        <v>90</v>
      </c>
      <c r="C26" s="4" t="inlineStr">
        <is>
          <t>days</t>
        </is>
      </c>
      <c r="D26" s="7" t="inlineStr">
        <is>
          <t>Approved v1</t>
        </is>
      </c>
      <c r="E26" s="4" t="inlineStr">
        <is>
          <t>Account lifecycle</t>
        </is>
      </c>
      <c r="F26" s="11" t="inlineStr">
        <is>
          <t>Commercial policy</t>
        </is>
      </c>
      <c r="G26" s="4" t="inlineStr">
        <is>
          <t>Amin</t>
        </is>
      </c>
      <c r="H26" s="4" t="inlineStr">
        <is>
          <t>Subject to product retention policy</t>
        </is>
      </c>
    </row>
    <row r="27">
      <c r="A27" s="4" t="inlineStr">
        <is>
          <t>VAT_NUMBER</t>
        </is>
      </c>
      <c r="B27" s="14" t="inlineStr">
        <is>
          <t>INSERT BEFORE LIVE CHARGE</t>
        </is>
      </c>
      <c r="C27" s="4" t="inlineStr">
        <is>
          <t>text</t>
        </is>
      </c>
      <c r="D27" s="15" t="inlineStr">
        <is>
          <t>Deployment value</t>
        </is>
      </c>
      <c r="E27" s="4" t="inlineStr">
        <is>
          <t>VAT invoice</t>
        </is>
      </c>
      <c r="F27" s="11" t="inlineStr">
        <is>
          <t>HMRC certificate</t>
        </is>
      </c>
      <c r="G27" s="4" t="inlineStr">
        <is>
          <t>Operations</t>
        </is>
      </c>
      <c r="H27" s="4" t="inlineStr">
        <is>
          <t>Checkout fails closed if missing</t>
        </is>
      </c>
    </row>
    <row r="28">
      <c r="A28" s="4" t="inlineStr">
        <is>
          <t>VAT_EFFECTIVE_DATE</t>
        </is>
      </c>
      <c r="B28" s="14" t="inlineStr">
        <is>
          <t>INSERT BEFORE LIVE CHARGE</t>
        </is>
      </c>
      <c r="C28" s="4" t="inlineStr">
        <is>
          <t>date</t>
        </is>
      </c>
      <c r="D28" s="15" t="inlineStr">
        <is>
          <t>Deployment value</t>
        </is>
      </c>
      <c r="E28" s="4" t="inlineStr">
        <is>
          <t>VAT invoice</t>
        </is>
      </c>
      <c r="F28" s="11" t="inlineStr">
        <is>
          <t>HMRC certificate</t>
        </is>
      </c>
      <c r="G28" s="4" t="inlineStr">
        <is>
          <t>Operations</t>
        </is>
      </c>
      <c r="H28" s="4" t="inlineStr">
        <is>
          <t>Checkout fails closed if missing</t>
        </is>
      </c>
    </row>
  </sheetData>
  <autoFilter ref="A4:H28"/>
  <mergeCells count="2">
    <mergeCell ref="A2:H2"/>
    <mergeCell ref="A1:H1"/>
  </mergeCells>
  <pageMargins left="0.25" right="0.25" top="0.35" bottom="0.35" header="0.5" footer="0.5"/>
  <pageSetup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3" customWidth="1" min="4" max="4"/>
    <col width="11" customWidth="1" min="5" max="5"/>
    <col width="11" customWidth="1" min="6" max="6"/>
    <col width="14" customWidth="1" min="7" max="7"/>
    <col width="11" customWidth="1" min="8" max="8"/>
    <col width="18" customWidth="1" min="9" max="9"/>
    <col width="13" customWidth="1" min="10" max="10"/>
    <col width="14" customWidth="1" min="11" max="11"/>
    <col width="13" customWidth="1" min="12" max="12"/>
    <col width="19" customWidth="1" min="13" max="13"/>
    <col width="15" customWidth="1" min="14" max="14"/>
    <col width="16" customWidth="1" min="15" max="15"/>
    <col width="22" customWidth="1" min="16" max="16"/>
    <col width="18" customWidth="1" min="17" max="17"/>
    <col width="25" customWidth="1" min="18" max="18"/>
    <col width="18" customWidth="1" min="19" max="19"/>
    <col width="14" customWidth="1" min="20" max="20"/>
  </cols>
  <sheetData>
    <row r="1" ht="29" customHeight="1">
      <c r="A1" s="1" t="inlineStr">
        <is>
          <t>Plan Unit Economics</t>
        </is>
      </c>
    </row>
    <row r="2" ht="38" customHeight="1">
      <c r="A2" s="2" t="inlineStr">
        <is>
          <t>Full-use and expected-use contribution. VAT is not revenue. Shared fixed platform cost is analysed separately.</t>
        </is>
      </c>
    </row>
    <row r="4">
      <c r="A4" s="3" t="inlineStr">
        <is>
          <t>Plan</t>
        </is>
      </c>
      <c r="B4" s="3" t="inlineStr">
        <is>
          <t>Net/month</t>
        </is>
      </c>
      <c r="C4" s="3" t="inlineStr">
        <is>
          <t>VAT</t>
        </is>
      </c>
      <c r="D4" s="3" t="inlineStr">
        <is>
          <t>Gross</t>
        </is>
      </c>
      <c r="E4" s="3" t="inlineStr">
        <is>
          <t>Locations</t>
        </is>
      </c>
      <c r="F4" s="3" t="inlineStr">
        <is>
          <t>AI</t>
        </is>
      </c>
      <c r="G4" s="3" t="inlineStr">
        <is>
          <t>Email</t>
        </is>
      </c>
      <c r="H4" s="3" t="inlineStr">
        <is>
          <t>SMS</t>
        </is>
      </c>
      <c r="I4" s="3" t="inlineStr">
        <is>
          <t>Payment + Billing</t>
        </is>
      </c>
      <c r="J4" s="3" t="inlineStr">
        <is>
          <t>AI COGS</t>
        </is>
      </c>
      <c r="K4" s="3" t="inlineStr">
        <is>
          <t>Email COGS</t>
        </is>
      </c>
      <c r="L4" s="3" t="inlineStr">
        <is>
          <t>SMS COGS</t>
        </is>
      </c>
      <c r="M4" s="3" t="inlineStr">
        <is>
          <t>Variable contribution</t>
        </is>
      </c>
      <c r="N4" s="3" t="inlineStr">
        <is>
          <t>Variable margin</t>
        </is>
      </c>
      <c r="O4" s="3" t="inlineStr">
        <is>
          <t>Support budget</t>
        </is>
      </c>
      <c r="P4" s="3" t="inlineStr">
        <is>
          <t>Contribution after support</t>
        </is>
      </c>
      <c r="Q4" s="3" t="inlineStr">
        <is>
          <t>Margin after support</t>
        </is>
      </c>
      <c r="R4" s="3" t="inlineStr">
        <is>
          <t>Expected contribution after support</t>
        </is>
      </c>
      <c r="S4" s="3" t="inlineStr">
        <is>
          <t>Expected margin</t>
        </is>
      </c>
      <c r="T4" s="3" t="inlineStr">
        <is>
          <t>Annual net</t>
        </is>
      </c>
    </row>
    <row r="5">
      <c r="A5" s="4" t="inlineStr">
        <is>
          <t>Pilot</t>
        </is>
      </c>
      <c r="B5" s="12" t="n">
        <v>0</v>
      </c>
      <c r="C5" s="5">
        <f>B5*Assumptions!$B$5</f>
        <v/>
      </c>
      <c r="D5" s="5">
        <f>B5+C5</f>
        <v/>
      </c>
      <c r="E5" s="16" t="n">
        <v>1</v>
      </c>
      <c r="F5" s="16" t="n">
        <v>20</v>
      </c>
      <c r="G5" s="16" t="n">
        <v>500</v>
      </c>
      <c r="H5" s="16" t="n">
        <v>20</v>
      </c>
      <c r="I5" s="5">
        <f>IF(B5=0,0,D5*(Assumptions!$B$6+Assumptions!$B$8)+Assumptions!$B$7)</f>
        <v/>
      </c>
      <c r="J5" s="5">
        <f>F5*Assumptions!$B$10</f>
        <v/>
      </c>
      <c r="K5" s="5">
        <f>G5*Assumptions!$B$11</f>
        <v/>
      </c>
      <c r="L5" s="5">
        <f>H5*Assumptions!$B$9</f>
        <v/>
      </c>
      <c r="M5" s="5">
        <f>B5-I5-J5-K5-L5</f>
        <v/>
      </c>
      <c r="N5" s="17">
        <f>IF(B5=0,0,M5/B5)</f>
        <v/>
      </c>
      <c r="O5" s="12" t="n">
        <v>0</v>
      </c>
      <c r="P5" s="5">
        <f>M5-O5</f>
        <v/>
      </c>
      <c r="Q5" s="17">
        <f>IF(B5=0,0,P5/B5)</f>
        <v/>
      </c>
      <c r="R5" s="5">
        <f>B5-I5-(J5+K5+L5)*Assumptions!$B$17-O5</f>
        <v/>
      </c>
      <c r="S5" s="17">
        <f>IF(B5=0,0,R5/B5)</f>
        <v/>
      </c>
      <c r="T5" s="12" t="n">
        <v>0</v>
      </c>
    </row>
    <row r="6">
      <c r="A6" s="4" t="inlineStr">
        <is>
          <t>Starter</t>
        </is>
      </c>
      <c r="B6" s="12" t="n">
        <v>39</v>
      </c>
      <c r="C6" s="5">
        <f>B6*Assumptions!$B$5</f>
        <v/>
      </c>
      <c r="D6" s="5">
        <f>B6+C6</f>
        <v/>
      </c>
      <c r="E6" s="16" t="n">
        <v>1</v>
      </c>
      <c r="F6" s="16" t="n">
        <v>100</v>
      </c>
      <c r="G6" s="16" t="n">
        <v>2500</v>
      </c>
      <c r="H6" s="16" t="n">
        <v>100</v>
      </c>
      <c r="I6" s="5">
        <f>IF(B6=0,0,D6*(Assumptions!$B$6+Assumptions!$B$8)+Assumptions!$B$7)</f>
        <v/>
      </c>
      <c r="J6" s="5">
        <f>F6*Assumptions!$B$10</f>
        <v/>
      </c>
      <c r="K6" s="5">
        <f>G6*Assumptions!$B$11</f>
        <v/>
      </c>
      <c r="L6" s="5">
        <f>H6*Assumptions!$B$9</f>
        <v/>
      </c>
      <c r="M6" s="5">
        <f>B6-I6-J6-K6-L6</f>
        <v/>
      </c>
      <c r="N6" s="18">
        <f>IF(B6=0,0,M6/B6)</f>
        <v/>
      </c>
      <c r="O6" s="12" t="n">
        <v>10</v>
      </c>
      <c r="P6" s="5">
        <f>M6-O6</f>
        <v/>
      </c>
      <c r="Q6" s="17">
        <f>IF(B6=0,0,P6/B6)</f>
        <v/>
      </c>
      <c r="R6" s="5">
        <f>B6-I6-(J6+K6+L6)*Assumptions!$B$17-O6</f>
        <v/>
      </c>
      <c r="S6" s="18">
        <f>IF(B6=0,0,R6/B6)</f>
        <v/>
      </c>
      <c r="T6" s="12" t="n">
        <v>398</v>
      </c>
    </row>
    <row r="7">
      <c r="A7" s="4" t="inlineStr">
        <is>
          <t>Growth</t>
        </is>
      </c>
      <c r="B7" s="12" t="n">
        <v>99</v>
      </c>
      <c r="C7" s="5">
        <f>B7*Assumptions!$B$5</f>
        <v/>
      </c>
      <c r="D7" s="5">
        <f>B7+C7</f>
        <v/>
      </c>
      <c r="E7" s="16" t="n">
        <v>3</v>
      </c>
      <c r="F7" s="16" t="n">
        <v>500</v>
      </c>
      <c r="G7" s="16" t="n">
        <v>10000</v>
      </c>
      <c r="H7" s="16" t="n">
        <v>350</v>
      </c>
      <c r="I7" s="5">
        <f>IF(B7=0,0,D7*(Assumptions!$B$6+Assumptions!$B$8)+Assumptions!$B$7)</f>
        <v/>
      </c>
      <c r="J7" s="5">
        <f>F7*Assumptions!$B$10</f>
        <v/>
      </c>
      <c r="K7" s="5">
        <f>G7*Assumptions!$B$11</f>
        <v/>
      </c>
      <c r="L7" s="5">
        <f>H7*Assumptions!$B$9</f>
        <v/>
      </c>
      <c r="M7" s="5">
        <f>B7-I7-J7-K7-L7</f>
        <v/>
      </c>
      <c r="N7" s="18">
        <f>IF(B7=0,0,M7/B7)</f>
        <v/>
      </c>
      <c r="O7" s="12" t="n">
        <v>10</v>
      </c>
      <c r="P7" s="5">
        <f>M7-O7</f>
        <v/>
      </c>
      <c r="Q7" s="17">
        <f>IF(B7=0,0,P7/B7)</f>
        <v/>
      </c>
      <c r="R7" s="5">
        <f>B7-I7-(J7+K7+L7)*Assumptions!$B$17-O7</f>
        <v/>
      </c>
      <c r="S7" s="18">
        <f>IF(B7=0,0,R7/B7)</f>
        <v/>
      </c>
      <c r="T7" s="12" t="n">
        <v>1010</v>
      </c>
    </row>
    <row r="8">
      <c r="A8" s="4" t="inlineStr">
        <is>
          <t>Group</t>
        </is>
      </c>
      <c r="B8" s="12" t="n">
        <v>199</v>
      </c>
      <c r="C8" s="5">
        <f>B8*Assumptions!$B$5</f>
        <v/>
      </c>
      <c r="D8" s="5">
        <f>B8+C8</f>
        <v/>
      </c>
      <c r="E8" s="16" t="n">
        <v>5</v>
      </c>
      <c r="F8" s="16" t="n">
        <v>1500</v>
      </c>
      <c r="G8" s="16" t="n">
        <v>25000</v>
      </c>
      <c r="H8" s="16" t="n">
        <v>700</v>
      </c>
      <c r="I8" s="5">
        <f>IF(B8=0,0,D8*(Assumptions!$B$6+Assumptions!$B$8)+Assumptions!$B$7)</f>
        <v/>
      </c>
      <c r="J8" s="5">
        <f>F8*Assumptions!$B$10</f>
        <v/>
      </c>
      <c r="K8" s="5">
        <f>G8*Assumptions!$B$11</f>
        <v/>
      </c>
      <c r="L8" s="5">
        <f>H8*Assumptions!$B$9</f>
        <v/>
      </c>
      <c r="M8" s="5">
        <f>B8-I8-J8-K8-L8</f>
        <v/>
      </c>
      <c r="N8" s="18">
        <f>IF(B8=0,0,M8/B8)</f>
        <v/>
      </c>
      <c r="O8" s="12" t="n">
        <v>10</v>
      </c>
      <c r="P8" s="5">
        <f>M8-O8</f>
        <v/>
      </c>
      <c r="Q8" s="17">
        <f>IF(B8=0,0,P8/B8)</f>
        <v/>
      </c>
      <c r="R8" s="5">
        <f>B8-I8-(J8+K8+L8)*Assumptions!$B$17-O8</f>
        <v/>
      </c>
      <c r="S8" s="18">
        <f>IF(B8=0,0,R8/B8)</f>
        <v/>
      </c>
      <c r="T8" s="12" t="n">
        <v>2030</v>
      </c>
    </row>
    <row r="9">
      <c r="A9" s="4" t="inlineStr">
        <is>
          <t>Additional Group Location</t>
        </is>
      </c>
      <c r="B9" s="12" t="n">
        <v>39</v>
      </c>
      <c r="C9" s="5">
        <f>B9*Assumptions!$B$5</f>
        <v/>
      </c>
      <c r="D9" s="5">
        <f>B9+C9</f>
        <v/>
      </c>
      <c r="E9" s="16" t="n">
        <v>1</v>
      </c>
      <c r="F9" s="16" t="n">
        <v>100</v>
      </c>
      <c r="G9" s="16" t="n">
        <v>5000</v>
      </c>
      <c r="H9" s="16" t="n">
        <v>100</v>
      </c>
      <c r="I9" s="5">
        <f>IF(B9=0,0,D9*(Assumptions!$B$6+Assumptions!$B$8)+Assumptions!$B$7)</f>
        <v/>
      </c>
      <c r="J9" s="5">
        <f>F9*Assumptions!$B$10</f>
        <v/>
      </c>
      <c r="K9" s="5">
        <f>G9*Assumptions!$B$11</f>
        <v/>
      </c>
      <c r="L9" s="5">
        <f>H9*Assumptions!$B$9</f>
        <v/>
      </c>
      <c r="M9" s="5">
        <f>B9-I9-J9-K9-L9</f>
        <v/>
      </c>
      <c r="N9" s="18">
        <f>IF(B9=0,0,M9/B9)</f>
        <v/>
      </c>
      <c r="O9" s="12" t="n">
        <v>4</v>
      </c>
      <c r="P9" s="5">
        <f>M9-O9</f>
        <v/>
      </c>
      <c r="Q9" s="17">
        <f>IF(B9=0,0,P9/B9)</f>
        <v/>
      </c>
      <c r="R9" s="5">
        <f>B9-I9-(J9+K9+L9)*Assumptions!$B$17-O9</f>
        <v/>
      </c>
      <c r="S9" s="18">
        <f>IF(B9=0,0,R9/B9)</f>
        <v/>
      </c>
      <c r="T9" s="12" t="n">
        <v>398</v>
      </c>
    </row>
  </sheetData>
  <autoFilter ref="A4:T9"/>
  <mergeCells count="2">
    <mergeCell ref="A1:T1"/>
    <mergeCell ref="A2:T2"/>
  </mergeCells>
  <pageMargins left="0.25" right="0.25" top="0.35" bottom="0.35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13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14" customWidth="1" min="11" max="11"/>
    <col width="18" customWidth="1" min="12" max="12"/>
    <col width="13" customWidth="1" min="13" max="13"/>
    <col width="35" customWidth="1" min="14" max="14"/>
  </cols>
  <sheetData>
    <row r="1" ht="29" customHeight="1">
      <c r="A1" s="1" t="inlineStr">
        <is>
          <t>Top-Up Pack Economics</t>
        </is>
      </c>
    </row>
    <row r="2" ht="38" customHeight="1">
      <c r="A2" s="2" t="inlineStr">
        <is>
          <t>Net prices exclude VAT. Contribution includes conservative channel COGS and standard UK Stripe + Billing fees.</t>
        </is>
      </c>
    </row>
    <row r="4">
      <c r="A4" s="3" t="inlineStr">
        <is>
          <t>Channel</t>
        </is>
      </c>
      <c r="B4" s="3" t="inlineStr">
        <is>
          <t>Quantity</t>
        </is>
      </c>
      <c r="C4" s="3" t="inlineStr">
        <is>
          <t>Net</t>
        </is>
      </c>
      <c r="D4" s="3" t="inlineStr">
        <is>
          <t>VAT</t>
        </is>
      </c>
      <c r="E4" s="3" t="inlineStr">
        <is>
          <t>Gross</t>
        </is>
      </c>
      <c r="F4" s="3" t="inlineStr">
        <is>
          <t>Net/unit</t>
        </is>
      </c>
      <c r="G4" s="3" t="inlineStr">
        <is>
          <t>Unit cost</t>
        </is>
      </c>
      <c r="H4" s="3" t="inlineStr">
        <is>
          <t>Channel COGS</t>
        </is>
      </c>
      <c r="I4" s="3" t="inlineStr">
        <is>
          <t>Payment + Billing</t>
        </is>
      </c>
      <c r="J4" s="3" t="inlineStr">
        <is>
          <t>Contribution</t>
        </is>
      </c>
      <c r="K4" s="3" t="inlineStr">
        <is>
          <t>Margin</t>
        </is>
      </c>
      <c r="L4" s="3" t="inlineStr">
        <is>
          <t>Access</t>
        </is>
      </c>
      <c r="M4" s="3" t="inlineStr">
        <is>
          <t>Validity</t>
        </is>
      </c>
      <c r="N4" s="3" t="inlineStr">
        <is>
          <t>Lookup key</t>
        </is>
      </c>
    </row>
    <row r="5">
      <c r="A5" s="4" t="inlineStr">
        <is>
          <t>AI</t>
        </is>
      </c>
      <c r="B5" s="14" t="n">
        <v>100</v>
      </c>
      <c r="C5" s="12" t="n">
        <v>5</v>
      </c>
      <c r="D5" s="5">
        <f>C5*Assumptions!$B$5</f>
        <v/>
      </c>
      <c r="E5" s="5">
        <f>C5+D5</f>
        <v/>
      </c>
      <c r="F5" s="19">
        <f>C5/B5</f>
        <v/>
      </c>
      <c r="G5" s="19">
        <f>Assumptions!$B$10</f>
        <v/>
      </c>
      <c r="H5" s="5">
        <f>B5*G5</f>
        <v/>
      </c>
      <c r="I5" s="5">
        <f>E5*(Assumptions!$B$6+Assumptions!$B$8)+Assumptions!$B$7</f>
        <v/>
      </c>
      <c r="J5" s="5">
        <f>C5-H5-I5</f>
        <v/>
      </c>
      <c r="K5" s="18">
        <f>J5/C5</f>
        <v/>
      </c>
      <c r="L5" s="4" t="inlineStr">
        <is>
          <t>Paid</t>
        </is>
      </c>
      <c r="M5" s="4" t="inlineStr">
        <is>
          <t>12 months</t>
        </is>
      </c>
      <c r="N5" s="4" t="inlineStr">
        <is>
          <t>tummly_ai_100_gbp_v3</t>
        </is>
      </c>
    </row>
    <row r="6">
      <c r="A6" s="4" t="inlineStr">
        <is>
          <t>AI</t>
        </is>
      </c>
      <c r="B6" s="14" t="n">
        <v>500</v>
      </c>
      <c r="C6" s="12" t="n">
        <v>15</v>
      </c>
      <c r="D6" s="5">
        <f>C6*Assumptions!$B$5</f>
        <v/>
      </c>
      <c r="E6" s="5">
        <f>C6+D6</f>
        <v/>
      </c>
      <c r="F6" s="19">
        <f>C6/B6</f>
        <v/>
      </c>
      <c r="G6" s="19">
        <f>Assumptions!$B$10</f>
        <v/>
      </c>
      <c r="H6" s="5">
        <f>B6*G6</f>
        <v/>
      </c>
      <c r="I6" s="5">
        <f>E6*(Assumptions!$B$6+Assumptions!$B$8)+Assumptions!$B$7</f>
        <v/>
      </c>
      <c r="J6" s="5">
        <f>C6-H6-I6</f>
        <v/>
      </c>
      <c r="K6" s="18">
        <f>J6/C6</f>
        <v/>
      </c>
      <c r="L6" s="4" t="inlineStr">
        <is>
          <t>Paid</t>
        </is>
      </c>
      <c r="M6" s="4" t="inlineStr">
        <is>
          <t>12 months</t>
        </is>
      </c>
      <c r="N6" s="4" t="inlineStr">
        <is>
          <t>tummly_ai_500_gbp_v3</t>
        </is>
      </c>
    </row>
    <row r="7">
      <c r="A7" s="4" t="inlineStr">
        <is>
          <t>AI</t>
        </is>
      </c>
      <c r="B7" s="14" t="n">
        <v>2000</v>
      </c>
      <c r="C7" s="12" t="n">
        <v>39</v>
      </c>
      <c r="D7" s="5">
        <f>C7*Assumptions!$B$5</f>
        <v/>
      </c>
      <c r="E7" s="5">
        <f>C7+D7</f>
        <v/>
      </c>
      <c r="F7" s="19">
        <f>C7/B7</f>
        <v/>
      </c>
      <c r="G7" s="19">
        <f>Assumptions!$B$10</f>
        <v/>
      </c>
      <c r="H7" s="5">
        <f>B7*G7</f>
        <v/>
      </c>
      <c r="I7" s="5">
        <f>E7*(Assumptions!$B$6+Assumptions!$B$8)+Assumptions!$B$7</f>
        <v/>
      </c>
      <c r="J7" s="5">
        <f>C7-H7-I7</f>
        <v/>
      </c>
      <c r="K7" s="18">
        <f>J7/C7</f>
        <v/>
      </c>
      <c r="L7" s="4" t="inlineStr">
        <is>
          <t>Paid</t>
        </is>
      </c>
      <c r="M7" s="4" t="inlineStr">
        <is>
          <t>12 months</t>
        </is>
      </c>
      <c r="N7" s="4" t="inlineStr">
        <is>
          <t>tummly_ai_2000_gbp_v3</t>
        </is>
      </c>
    </row>
    <row r="8">
      <c r="A8" s="4" t="inlineStr">
        <is>
          <t>Email</t>
        </is>
      </c>
      <c r="B8" s="14" t="n">
        <v>5000</v>
      </c>
      <c r="C8" s="12" t="n">
        <v>10</v>
      </c>
      <c r="D8" s="5">
        <f>C8*Assumptions!$B$5</f>
        <v/>
      </c>
      <c r="E8" s="5">
        <f>C8+D8</f>
        <v/>
      </c>
      <c r="F8" s="19">
        <f>C8/B8</f>
        <v/>
      </c>
      <c r="G8" s="19">
        <f>Assumptions!$B$11</f>
        <v/>
      </c>
      <c r="H8" s="5">
        <f>B8*G8</f>
        <v/>
      </c>
      <c r="I8" s="5">
        <f>E8*(Assumptions!$B$6+Assumptions!$B$8)+Assumptions!$B$7</f>
        <v/>
      </c>
      <c r="J8" s="5">
        <f>C8-H8-I8</f>
        <v/>
      </c>
      <c r="K8" s="18">
        <f>J8/C8</f>
        <v/>
      </c>
      <c r="L8" s="4" t="inlineStr">
        <is>
          <t>Paid</t>
        </is>
      </c>
      <c r="M8" s="4" t="inlineStr">
        <is>
          <t>12 months</t>
        </is>
      </c>
      <c r="N8" s="4" t="inlineStr">
        <is>
          <t>tummly_email_5000_gbp_v3</t>
        </is>
      </c>
    </row>
    <row r="9">
      <c r="A9" s="4" t="inlineStr">
        <is>
          <t>Email</t>
        </is>
      </c>
      <c r="B9" s="14" t="n">
        <v>20000</v>
      </c>
      <c r="C9" s="12" t="n">
        <v>30</v>
      </c>
      <c r="D9" s="5">
        <f>C9*Assumptions!$B$5</f>
        <v/>
      </c>
      <c r="E9" s="5">
        <f>C9+D9</f>
        <v/>
      </c>
      <c r="F9" s="19">
        <f>C9/B9</f>
        <v/>
      </c>
      <c r="G9" s="19">
        <f>Assumptions!$B$11</f>
        <v/>
      </c>
      <c r="H9" s="5">
        <f>B9*G9</f>
        <v/>
      </c>
      <c r="I9" s="5">
        <f>E9*(Assumptions!$B$6+Assumptions!$B$8)+Assumptions!$B$7</f>
        <v/>
      </c>
      <c r="J9" s="5">
        <f>C9-H9-I9</f>
        <v/>
      </c>
      <c r="K9" s="18">
        <f>J9/C9</f>
        <v/>
      </c>
      <c r="L9" s="4" t="inlineStr">
        <is>
          <t>Paid</t>
        </is>
      </c>
      <c r="M9" s="4" t="inlineStr">
        <is>
          <t>12 months</t>
        </is>
      </c>
      <c r="N9" s="4" t="inlineStr">
        <is>
          <t>tummly_email_20000_gbp_v3</t>
        </is>
      </c>
    </row>
    <row r="10">
      <c r="A10" s="4" t="inlineStr">
        <is>
          <t>Email</t>
        </is>
      </c>
      <c r="B10" s="14" t="n">
        <v>50000</v>
      </c>
      <c r="C10" s="12" t="n">
        <v>60</v>
      </c>
      <c r="D10" s="5">
        <f>C10*Assumptions!$B$5</f>
        <v/>
      </c>
      <c r="E10" s="5">
        <f>C10+D10</f>
        <v/>
      </c>
      <c r="F10" s="19">
        <f>C10/B10</f>
        <v/>
      </c>
      <c r="G10" s="19">
        <f>Assumptions!$B$11</f>
        <v/>
      </c>
      <c r="H10" s="5">
        <f>B10*G10</f>
        <v/>
      </c>
      <c r="I10" s="5">
        <f>E10*(Assumptions!$B$6+Assumptions!$B$8)+Assumptions!$B$7</f>
        <v/>
      </c>
      <c r="J10" s="5">
        <f>C10-H10-I10</f>
        <v/>
      </c>
      <c r="K10" s="18">
        <f>J10/C10</f>
        <v/>
      </c>
      <c r="L10" s="4" t="inlineStr">
        <is>
          <t>Paid</t>
        </is>
      </c>
      <c r="M10" s="4" t="inlineStr">
        <is>
          <t>12 months</t>
        </is>
      </c>
      <c r="N10" s="4" t="inlineStr">
        <is>
          <t>tummly_email_50000_gbp_v3</t>
        </is>
      </c>
    </row>
    <row r="11">
      <c r="A11" s="4" t="inlineStr">
        <is>
          <t>SMS</t>
        </is>
      </c>
      <c r="B11" s="14" t="n">
        <v>100</v>
      </c>
      <c r="C11" s="12" t="n">
        <v>12</v>
      </c>
      <c r="D11" s="5">
        <f>C11*Assumptions!$B$5</f>
        <v/>
      </c>
      <c r="E11" s="5">
        <f>C11+D11</f>
        <v/>
      </c>
      <c r="F11" s="19">
        <f>C11/B11</f>
        <v/>
      </c>
      <c r="G11" s="19">
        <f>Assumptions!$B$9</f>
        <v/>
      </c>
      <c r="H11" s="5">
        <f>B11*G11</f>
        <v/>
      </c>
      <c r="I11" s="5">
        <f>E11*(Assumptions!$B$6+Assumptions!$B$8)+Assumptions!$B$7</f>
        <v/>
      </c>
      <c r="J11" s="5">
        <f>C11-H11-I11</f>
        <v/>
      </c>
      <c r="K11" s="18">
        <f>J11/C11</f>
        <v/>
      </c>
      <c r="L11" s="4" t="inlineStr">
        <is>
          <t>Paid</t>
        </is>
      </c>
      <c r="M11" s="4" t="inlineStr">
        <is>
          <t>12 months</t>
        </is>
      </c>
      <c r="N11" s="4" t="inlineStr">
        <is>
          <t>tummly_sms_100_gbp_v3</t>
        </is>
      </c>
    </row>
    <row r="12">
      <c r="A12" s="4" t="inlineStr">
        <is>
          <t>SMS</t>
        </is>
      </c>
      <c r="B12" s="14" t="n">
        <v>500</v>
      </c>
      <c r="C12" s="12" t="n">
        <v>55</v>
      </c>
      <c r="D12" s="5">
        <f>C12*Assumptions!$B$5</f>
        <v/>
      </c>
      <c r="E12" s="5">
        <f>C12+D12</f>
        <v/>
      </c>
      <c r="F12" s="19">
        <f>C12/B12</f>
        <v/>
      </c>
      <c r="G12" s="19">
        <f>Assumptions!$B$9</f>
        <v/>
      </c>
      <c r="H12" s="5">
        <f>B12*G12</f>
        <v/>
      </c>
      <c r="I12" s="5">
        <f>E12*(Assumptions!$B$6+Assumptions!$B$8)+Assumptions!$B$7</f>
        <v/>
      </c>
      <c r="J12" s="5">
        <f>C12-H12-I12</f>
        <v/>
      </c>
      <c r="K12" s="18">
        <f>J12/C12</f>
        <v/>
      </c>
      <c r="L12" s="4" t="inlineStr">
        <is>
          <t>Paid</t>
        </is>
      </c>
      <c r="M12" s="4" t="inlineStr">
        <is>
          <t>12 months</t>
        </is>
      </c>
      <c r="N12" s="4" t="inlineStr">
        <is>
          <t>tummly_sms_500_gbp_v3</t>
        </is>
      </c>
    </row>
    <row r="13">
      <c r="A13" s="4" t="inlineStr">
        <is>
          <t>SMS</t>
        </is>
      </c>
      <c r="B13" s="14" t="n">
        <v>1000</v>
      </c>
      <c r="C13" s="12" t="n">
        <v>100</v>
      </c>
      <c r="D13" s="5">
        <f>C13*Assumptions!$B$5</f>
        <v/>
      </c>
      <c r="E13" s="5">
        <f>C13+D13</f>
        <v/>
      </c>
      <c r="F13" s="19">
        <f>C13/B13</f>
        <v/>
      </c>
      <c r="G13" s="19">
        <f>Assumptions!$B$9</f>
        <v/>
      </c>
      <c r="H13" s="5">
        <f>B13*G13</f>
        <v/>
      </c>
      <c r="I13" s="5">
        <f>E13*(Assumptions!$B$6+Assumptions!$B$8)+Assumptions!$B$7</f>
        <v/>
      </c>
      <c r="J13" s="5">
        <f>C13-H13-I13</f>
        <v/>
      </c>
      <c r="K13" s="18">
        <f>J13/C13</f>
        <v/>
      </c>
      <c r="L13" s="4" t="inlineStr">
        <is>
          <t>Paid</t>
        </is>
      </c>
      <c r="M13" s="4" t="inlineStr">
        <is>
          <t>12 months</t>
        </is>
      </c>
      <c r="N13" s="4" t="inlineStr">
        <is>
          <t>tummly_sms_1000_gbp_v3</t>
        </is>
      </c>
    </row>
    <row r="14">
      <c r="A14" s="4" t="inlineStr">
        <is>
          <t>SMS</t>
        </is>
      </c>
      <c r="B14" s="14" t="n">
        <v>5000</v>
      </c>
      <c r="C14" s="12" t="n">
        <v>450</v>
      </c>
      <c r="D14" s="5">
        <f>C14*Assumptions!$B$5</f>
        <v/>
      </c>
      <c r="E14" s="5">
        <f>C14+D14</f>
        <v/>
      </c>
      <c r="F14" s="19">
        <f>C14/B14</f>
        <v/>
      </c>
      <c r="G14" s="19">
        <f>Assumptions!$B$9</f>
        <v/>
      </c>
      <c r="H14" s="5">
        <f>B14*G14</f>
        <v/>
      </c>
      <c r="I14" s="5">
        <f>E14*(Assumptions!$B$6+Assumptions!$B$8)+Assumptions!$B$7</f>
        <v/>
      </c>
      <c r="J14" s="5">
        <f>C14-H14-I14</f>
        <v/>
      </c>
      <c r="K14" s="18">
        <f>J14/C14</f>
        <v/>
      </c>
      <c r="L14" s="4" t="inlineStr">
        <is>
          <t>Group/approval</t>
        </is>
      </c>
      <c r="M14" s="4" t="inlineStr">
        <is>
          <t>12 months</t>
        </is>
      </c>
      <c r="N14" s="4" t="inlineStr">
        <is>
          <t>tummly_sms_5000_gbp_v3</t>
        </is>
      </c>
    </row>
  </sheetData>
  <autoFilter ref="A4:N14"/>
  <mergeCells count="2">
    <mergeCell ref="A2:N2"/>
    <mergeCell ref="A1:N1"/>
  </mergeCells>
  <pageMargins left="0.25" right="0.25" top="0.35" bottom="0.35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  <col width="23" customWidth="1" min="8" max="8"/>
    <col width="20" customWidth="1" min="9" max="9"/>
    <col width="17" customWidth="1" min="10" max="10"/>
    <col width="17" customWidth="1" min="11" max="11"/>
    <col width="17" customWidth="1" min="12" max="12"/>
    <col width="19" customWidth="1" min="13" max="13"/>
    <col width="38" customWidth="1" min="14" max="14"/>
  </cols>
  <sheetData>
    <row r="1" ht="29" customHeight="1">
      <c r="A1" s="1" t="inlineStr">
        <is>
          <t>Operating Scenario and Break-Even Model</t>
        </is>
      </c>
    </row>
    <row r="2" ht="38" customHeight="1">
      <c r="A2" s="2" t="inlineStr">
        <is>
          <t>Tests paid-account contribution after support against shared fixed platform cost. Plan mix and assumptions are editable on Assumptions.</t>
        </is>
      </c>
    </row>
    <row r="4">
      <c r="A4" s="3" t="inlineStr">
        <is>
          <t>Scenario</t>
        </is>
      </c>
      <c r="B4" s="3" t="inlineStr">
        <is>
          <t>Usage</t>
        </is>
      </c>
      <c r="C4" s="3" t="inlineStr">
        <is>
          <t>Support/account</t>
        </is>
      </c>
      <c r="D4" s="3" t="inlineStr">
        <is>
          <t>Fixed platform</t>
        </is>
      </c>
      <c r="E4" s="3" t="inlineStr">
        <is>
          <t>Starter contribution</t>
        </is>
      </c>
      <c r="F4" s="3" t="inlineStr">
        <is>
          <t>Growth contribution</t>
        </is>
      </c>
      <c r="G4" s="3" t="inlineStr">
        <is>
          <t>Group contribution</t>
        </is>
      </c>
      <c r="H4" s="3" t="inlineStr">
        <is>
          <t>Weighted contribution/account</t>
        </is>
      </c>
      <c r="I4" s="3" t="inlineStr">
        <is>
          <t>Break-even paid accounts</t>
        </is>
      </c>
      <c r="J4" s="3" t="inlineStr">
        <is>
          <t>20 paid accounts</t>
        </is>
      </c>
      <c r="K4" s="3" t="inlineStr">
        <is>
          <t>50 paid accounts</t>
        </is>
      </c>
      <c r="L4" s="3" t="inlineStr">
        <is>
          <t>100 paid accounts</t>
        </is>
      </c>
      <c r="M4" s="3" t="inlineStr">
        <is>
          <t>Status</t>
        </is>
      </c>
      <c r="N4" s="3" t="inlineStr">
        <is>
          <t>Notes</t>
        </is>
      </c>
    </row>
    <row r="5">
      <c r="A5" s="4" t="inlineStr">
        <is>
          <t>Low cost / low use</t>
        </is>
      </c>
      <c r="B5" s="17" t="n">
        <v>0.35</v>
      </c>
      <c r="C5" s="5" t="n">
        <v>5</v>
      </c>
      <c r="D5" s="5" t="n">
        <v>250</v>
      </c>
      <c r="E5" s="5">
        <f>'Plan Economics'!B6-'Plan Economics'!I6-('Plan Economics'!J6+'Plan Economics'!K6+'Plan Economics'!L6)*B5-C5</f>
        <v/>
      </c>
      <c r="F5" s="5">
        <f>'Plan Economics'!B7-'Plan Economics'!I7-('Plan Economics'!J7+'Plan Economics'!K7+'Plan Economics'!L7)*B5-C5</f>
        <v/>
      </c>
      <c r="G5" s="5">
        <f>'Plan Economics'!B8-'Plan Economics'!I8-('Plan Economics'!J8+'Plan Economics'!K8+'Plan Economics'!L8)*B5-C5</f>
        <v/>
      </c>
      <c r="H5" s="5">
        <f>E5*Assumptions!$B$22+F5*Assumptions!$B$23+G5*Assumptions!$B$24</f>
        <v/>
      </c>
      <c r="I5" s="20">
        <f>IF(H5&lt;=0,"—",D5/H5)</f>
        <v/>
      </c>
      <c r="J5" s="5">
        <f>H5*20-D5</f>
        <v/>
      </c>
      <c r="K5" s="5">
        <f>H5*50-D5</f>
        <v/>
      </c>
      <c r="L5" s="5">
        <f>H5*100-D5</f>
        <v/>
      </c>
      <c r="M5" s="7">
        <f>IF(H5&gt;0,"Contribution-positive","Review")</f>
        <v/>
      </c>
      <c r="N5" s="4" t="inlineStr">
        <is>
          <t>Excludes starter-kit acquisition and founder salary</t>
        </is>
      </c>
    </row>
    <row r="6">
      <c r="A6" s="4" t="inlineStr">
        <is>
          <t>Base</t>
        </is>
      </c>
      <c r="B6" s="17" t="n">
        <v>0.5</v>
      </c>
      <c r="C6" s="5" t="n">
        <v>10</v>
      </c>
      <c r="D6" s="5" t="n">
        <v>500</v>
      </c>
      <c r="E6" s="5">
        <f>'Plan Economics'!B6-'Plan Economics'!I6-('Plan Economics'!J6+'Plan Economics'!K6+'Plan Economics'!L6)*B6-C6</f>
        <v/>
      </c>
      <c r="F6" s="5">
        <f>'Plan Economics'!B7-'Plan Economics'!I7-('Plan Economics'!J7+'Plan Economics'!K7+'Plan Economics'!L7)*B6-C6</f>
        <v/>
      </c>
      <c r="G6" s="5">
        <f>'Plan Economics'!B8-'Plan Economics'!I8-('Plan Economics'!J8+'Plan Economics'!K8+'Plan Economics'!L8)*B6-C6</f>
        <v/>
      </c>
      <c r="H6" s="5">
        <f>E6*Assumptions!$B$22+F6*Assumptions!$B$23+G6*Assumptions!$B$24</f>
        <v/>
      </c>
      <c r="I6" s="20">
        <f>IF(H6&lt;=0,"—",D6/H6)</f>
        <v/>
      </c>
      <c r="J6" s="5">
        <f>H6*20-D6</f>
        <v/>
      </c>
      <c r="K6" s="5">
        <f>H6*50-D6</f>
        <v/>
      </c>
      <c r="L6" s="5">
        <f>H6*100-D6</f>
        <v/>
      </c>
      <c r="M6" s="7">
        <f>IF(H6&gt;0,"Contribution-positive","Review")</f>
        <v/>
      </c>
      <c r="N6" s="4" t="inlineStr">
        <is>
          <t>Excludes starter-kit acquisition and founder salary</t>
        </is>
      </c>
    </row>
    <row r="7">
      <c r="A7" s="4" t="inlineStr">
        <is>
          <t>High cost / high use</t>
        </is>
      </c>
      <c r="B7" s="17" t="n">
        <v>0.75</v>
      </c>
      <c r="C7" s="5" t="n">
        <v>20</v>
      </c>
      <c r="D7" s="5" t="n">
        <v>1000</v>
      </c>
      <c r="E7" s="5">
        <f>'Plan Economics'!B6-'Plan Economics'!I6-('Plan Economics'!J6+'Plan Economics'!K6+'Plan Economics'!L6)*B7-C7</f>
        <v/>
      </c>
      <c r="F7" s="5">
        <f>'Plan Economics'!B7-'Plan Economics'!I7-('Plan Economics'!J7+'Plan Economics'!K7+'Plan Economics'!L7)*B7-C7</f>
        <v/>
      </c>
      <c r="G7" s="5">
        <f>'Plan Economics'!B8-'Plan Economics'!I8-('Plan Economics'!J8+'Plan Economics'!K8+'Plan Economics'!L8)*B7-C7</f>
        <v/>
      </c>
      <c r="H7" s="5">
        <f>E7*Assumptions!$B$22+F7*Assumptions!$B$23+G7*Assumptions!$B$24</f>
        <v/>
      </c>
      <c r="I7" s="20">
        <f>IF(H7&lt;=0,"—",D7/H7)</f>
        <v/>
      </c>
      <c r="J7" s="5">
        <f>H7*20-D7</f>
        <v/>
      </c>
      <c r="K7" s="5">
        <f>H7*50-D7</f>
        <v/>
      </c>
      <c r="L7" s="5">
        <f>H7*100-D7</f>
        <v/>
      </c>
      <c r="M7" s="7">
        <f>IF(H7&gt;0,"Contribution-positive","Review")</f>
        <v/>
      </c>
      <c r="N7" s="4" t="inlineStr">
        <is>
          <t>Excludes starter-kit acquisition and founder salary</t>
        </is>
      </c>
    </row>
  </sheetData>
  <autoFilter ref="A4:N7"/>
  <mergeCells count="2">
    <mergeCell ref="A2:N2"/>
    <mergeCell ref="A1:N1"/>
  </mergeCells>
  <pageMargins left="0.25" right="0.25" top="0.35" bottom="0.35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15" customWidth="1" min="3" max="3"/>
    <col width="13" customWidth="1" min="4" max="4"/>
    <col width="17" customWidth="1" min="5" max="5"/>
    <col width="17" customWidth="1" min="6" max="6"/>
    <col width="17" customWidth="1" min="7" max="7"/>
    <col width="25" customWidth="1" min="8" max="8"/>
    <col width="16" customWidth="1" min="9" max="9"/>
    <col width="16" customWidth="1" min="10" max="10"/>
    <col width="16" customWidth="1" min="11" max="11"/>
    <col width="17" customWidth="1" min="12" max="12"/>
  </cols>
  <sheetData>
    <row r="1" ht="29" customHeight="1">
      <c r="A1" s="1" t="inlineStr">
        <is>
          <t>Pilot Acquisition and Payback</t>
        </is>
      </c>
    </row>
    <row r="2" ht="38" customHeight="1">
      <c r="A2" s="2" t="inlineStr">
        <is>
          <t>Pilot cost is a commercial acquisition subsidy. The physical kit must remain qualified and limited to one per Billing Account lifetime.</t>
        </is>
      </c>
    </row>
    <row r="4">
      <c r="A4" s="3" t="inlineStr">
        <is>
          <t>Metric</t>
        </is>
      </c>
      <c r="B4" s="3" t="inlineStr">
        <is>
          <t>Formula / input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15% conversion</t>
        </is>
      </c>
      <c r="F4" s="3" t="inlineStr">
        <is>
          <t>25% conversion</t>
        </is>
      </c>
      <c r="G4" s="3" t="inlineStr">
        <is>
          <t>35% conversion</t>
        </is>
      </c>
      <c r="H4" s="3" t="inlineStr">
        <is>
          <t>Starter expected contribution</t>
        </is>
      </c>
      <c r="I4" s="3" t="inlineStr">
        <is>
          <t>Payback at 15%</t>
        </is>
      </c>
      <c r="J4" s="3" t="inlineStr">
        <is>
          <t>Payback at 25%</t>
        </is>
      </c>
      <c r="K4" s="3" t="inlineStr">
        <is>
          <t>Payback at 35%</t>
        </is>
      </c>
      <c r="L4" s="3" t="inlineStr">
        <is>
          <t>Decision</t>
        </is>
      </c>
    </row>
    <row r="5">
      <c r="A5" s="4" t="inlineStr">
        <is>
          <t>Starter-kit cap</t>
        </is>
      </c>
      <c r="B5" s="4" t="inlineStr">
        <is>
          <t>Assumptions</t>
        </is>
      </c>
      <c r="C5" s="5" t="n">
        <v>25</v>
      </c>
      <c r="D5" s="4" t="inlineStr">
        <is>
          <t>GBP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Approved</t>
        </is>
      </c>
    </row>
    <row r="6">
      <c r="A6" s="4" t="inlineStr">
        <is>
          <t>Pilot onboarding budget</t>
        </is>
      </c>
      <c r="B6" s="4" t="inlineStr">
        <is>
          <t>Assumptions</t>
        </is>
      </c>
      <c r="C6" s="5" t="n">
        <v>15</v>
      </c>
      <c r="D6" s="4" t="inlineStr">
        <is>
          <t>GBP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>
        <is>
          <t>Approved</t>
        </is>
      </c>
    </row>
    <row r="7">
      <c r="A7" s="4" t="inlineStr">
        <is>
          <t>Pilot channel COGS</t>
        </is>
      </c>
      <c r="B7" s="4" t="inlineStr">
        <is>
          <t>20 AI + 500 Email + 20 SMS</t>
        </is>
      </c>
      <c r="C7" s="5" t="n">
        <v>1.76</v>
      </c>
      <c r="D7" s="4" t="inlineStr">
        <is>
          <t>GBP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Calculated</t>
        </is>
      </c>
    </row>
    <row r="8">
      <c r="A8" s="21" t="inlineStr">
        <is>
          <t>Total Pilot subsidy</t>
        </is>
      </c>
      <c r="B8" s="4" t="inlineStr">
        <is>
          <t>Kit + onboarding + full channel use</t>
        </is>
      </c>
      <c r="C8" s="5">
        <f>SUM(C5:C7)</f>
        <v/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inlineStr">
        <is>
          <t>Acquisition subsidy per converted account</t>
        </is>
      </c>
      <c r="B10" s="4" t="n"/>
      <c r="C10" s="4" t="n"/>
      <c r="D10" s="4" t="n"/>
      <c r="E10" s="5">
        <f>$C$8/15%</f>
        <v/>
      </c>
      <c r="F10" s="5">
        <f>$C$8/25%</f>
        <v/>
      </c>
      <c r="G10" s="5">
        <f>$C$8/35%</f>
        <v/>
      </c>
      <c r="H10" s="5">
        <f>'Plan Economics'!R6</f>
        <v/>
      </c>
      <c r="I10" s="20">
        <f>E10/H10</f>
        <v/>
      </c>
      <c r="J10" s="20">
        <f>F10/H10</f>
        <v/>
      </c>
      <c r="K10" s="20">
        <f>G10/H10</f>
        <v/>
      </c>
      <c r="L10" s="7">
        <f>IF(J10&lt;=9,"Acceptable","Review")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inlineStr">
        <is>
          <t>Operational rule</t>
        </is>
      </c>
      <c r="B12" s="9" t="inlineStr">
        <is>
          <t>Do not dispatch a physical kit until the Pilot is qualified. If landed cost exceeds £25, reduce pack scope or obtain a lower quote.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</sheetData>
  <autoFilter ref="A4:L12"/>
  <mergeCells count="3">
    <mergeCell ref="A2:L2"/>
    <mergeCell ref="B12:L12"/>
    <mergeCell ref="A1:L1"/>
  </mergeCells>
  <pageMargins left="0.25" right="0.25" top="0.35" bottom="0.35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25" customWidth="1" min="5" max="5"/>
    <col width="27" customWidth="1" min="6" max="6"/>
    <col width="12" customWidth="1" min="7" max="7"/>
    <col width="25" customWidth="1" min="8" max="8"/>
    <col width="27" customWidth="1" min="9" max="9"/>
    <col width="14" customWidth="1" min="10" max="10"/>
  </cols>
  <sheetData>
    <row r="1" ht="29" customHeight="1">
      <c r="A1" s="1" t="inlineStr">
        <is>
          <t>Credit Burn Rates</t>
        </is>
      </c>
    </row>
    <row r="2" ht="38" customHeight="1">
      <c r="A2" s="2" t="inlineStr">
        <is>
          <t>Authoritative successful events only. Failed, skipped and idempotently prevented actions consume zero.</t>
        </is>
      </c>
    </row>
    <row r="4">
      <c r="A4" s="3" t="inlineStr">
        <is>
          <t>Action</t>
        </is>
      </c>
      <c r="B4" s="3" t="inlineStr">
        <is>
          <t>AI</t>
        </is>
      </c>
      <c r="C4" s="3" t="inlineStr">
        <is>
          <t>Email</t>
        </is>
      </c>
      <c r="D4" s="3" t="inlineStr">
        <is>
          <t>SMS</t>
        </is>
      </c>
      <c r="E4" s="3" t="inlineStr">
        <is>
          <t>Charge event</t>
        </is>
      </c>
      <c r="F4" s="3" t="inlineStr">
        <is>
          <t>Zero-charge case</t>
        </is>
      </c>
      <c r="G4" s="3" t="inlineStr">
        <is>
          <t>Reservation</t>
        </is>
      </c>
      <c r="H4" s="3" t="inlineStr">
        <is>
          <t>Provider</t>
        </is>
      </c>
      <c r="I4" s="3" t="inlineStr">
        <is>
          <t>Ledger reference</t>
        </is>
      </c>
      <c r="J4" s="3" t="inlineStr">
        <is>
          <t>Status</t>
        </is>
      </c>
    </row>
    <row r="5">
      <c r="A5" s="4" t="inlineStr">
        <is>
          <t>Automatic Feedback classification</t>
        </is>
      </c>
      <c r="B5" s="14" t="n">
        <v>0</v>
      </c>
      <c r="C5" s="14" t="n">
        <v>0</v>
      </c>
      <c r="D5" s="14" t="n">
        <v>0</v>
      </c>
      <c r="E5" s="4" t="inlineStr">
        <is>
          <t>None</t>
        </is>
      </c>
      <c r="F5" s="4" t="inlineStr">
        <is>
          <t>All</t>
        </is>
      </c>
      <c r="G5" s="4" t="inlineStr">
        <is>
          <t>No</t>
        </is>
      </c>
      <c r="H5" s="4" t="inlineStr">
        <is>
          <t>Azure OpenAI</t>
        </is>
      </c>
      <c r="I5" s="4" t="inlineStr">
        <is>
          <t>feedback_id</t>
        </is>
      </c>
      <c r="J5" s="7" t="inlineStr">
        <is>
          <t>Approved</t>
        </is>
      </c>
    </row>
    <row r="6">
      <c r="A6" s="4" t="inlineStr">
        <is>
          <t>Standard scheduled Weekly Brief</t>
        </is>
      </c>
      <c r="B6" s="14" t="n">
        <v>0</v>
      </c>
      <c r="C6" s="14" t="n">
        <v>0</v>
      </c>
      <c r="D6" s="14" t="n">
        <v>0</v>
      </c>
      <c r="E6" s="4" t="inlineStr">
        <is>
          <t>None</t>
        </is>
      </c>
      <c r="F6" s="4" t="inlineStr">
        <is>
          <t>All</t>
        </is>
      </c>
      <c r="G6" s="4" t="inlineStr">
        <is>
          <t>No</t>
        </is>
      </c>
      <c r="H6" s="4" t="inlineStr">
        <is>
          <t>Azure OpenAI</t>
        </is>
      </c>
      <c r="I6" s="4" t="inlineStr">
        <is>
          <t>brief_id</t>
        </is>
      </c>
      <c r="J6" s="7" t="inlineStr">
        <is>
          <t>Approved</t>
        </is>
      </c>
    </row>
    <row r="7">
      <c r="A7" s="4" t="inlineStr">
        <is>
          <t>AI Assistant answer</t>
        </is>
      </c>
      <c r="B7" s="14" t="n">
        <v>1</v>
      </c>
      <c r="C7" s="14" t="n">
        <v>0</v>
      </c>
      <c r="D7" s="14" t="n">
        <v>0</v>
      </c>
      <c r="E7" s="4" t="inlineStr">
        <is>
          <t>Usable answer returned</t>
        </is>
      </c>
      <c r="F7" s="4" t="inlineStr">
        <is>
          <t>Failure/timeout/blocked</t>
        </is>
      </c>
      <c r="G7" s="4" t="inlineStr">
        <is>
          <t>No</t>
        </is>
      </c>
      <c r="H7" s="4" t="inlineStr">
        <is>
          <t>Azure OpenAI</t>
        </is>
      </c>
      <c r="I7" s="4" t="inlineStr">
        <is>
          <t>conversation_id</t>
        </is>
      </c>
      <c r="J7" s="7" t="inlineStr">
        <is>
          <t>Approved</t>
        </is>
      </c>
    </row>
    <row r="8">
      <c r="A8" s="4" t="inlineStr">
        <is>
          <t>Recovery AI Draft</t>
        </is>
      </c>
      <c r="B8" s="14" t="n">
        <v>1</v>
      </c>
      <c r="C8" s="14" t="n">
        <v>0</v>
      </c>
      <c r="D8" s="14" t="n">
        <v>0</v>
      </c>
      <c r="E8" s="4" t="inlineStr">
        <is>
          <t>Usable Draft returned</t>
        </is>
      </c>
      <c r="F8" s="4" t="inlineStr">
        <is>
          <t>Failure/timeout/blocked</t>
        </is>
      </c>
      <c r="G8" s="4" t="inlineStr">
        <is>
          <t>No</t>
        </is>
      </c>
      <c r="H8" s="4" t="inlineStr">
        <is>
          <t>Azure OpenAI</t>
        </is>
      </c>
      <c r="I8" s="4" t="inlineStr">
        <is>
          <t>feedback_id</t>
        </is>
      </c>
      <c r="J8" s="7" t="inlineStr">
        <is>
          <t>Approved</t>
        </is>
      </c>
    </row>
    <row r="9">
      <c r="A9" s="4" t="inlineStr">
        <is>
          <t>Campaign AI Draft</t>
        </is>
      </c>
      <c r="B9" s="14" t="n">
        <v>1</v>
      </c>
      <c r="C9" s="14" t="n">
        <v>0</v>
      </c>
      <c r="D9" s="14" t="n">
        <v>0</v>
      </c>
      <c r="E9" s="4" t="inlineStr">
        <is>
          <t>Usable Draft returned</t>
        </is>
      </c>
      <c r="F9" s="4" t="inlineStr">
        <is>
          <t>Failure/timeout/blocked</t>
        </is>
      </c>
      <c r="G9" s="4" t="inlineStr">
        <is>
          <t>No</t>
        </is>
      </c>
      <c r="H9" s="4" t="inlineStr">
        <is>
          <t>Azure OpenAI</t>
        </is>
      </c>
      <c r="I9" s="4" t="inlineStr">
        <is>
          <t>campaign_id</t>
        </is>
      </c>
      <c r="J9" s="7" t="inlineStr">
        <is>
          <t>Approved</t>
        </is>
      </c>
    </row>
    <row r="10">
      <c r="A10" s="4" t="inlineStr">
        <is>
          <t>Regenerate</t>
        </is>
      </c>
      <c r="B10" s="14" t="n">
        <v>1</v>
      </c>
      <c r="C10" s="14" t="n">
        <v>0</v>
      </c>
      <c r="D10" s="14" t="n">
        <v>0</v>
      </c>
      <c r="E10" s="4" t="inlineStr">
        <is>
          <t>New usable output</t>
        </is>
      </c>
      <c r="F10" s="4" t="inlineStr">
        <is>
          <t>Failure/timeout/blocked</t>
        </is>
      </c>
      <c r="G10" s="4" t="inlineStr">
        <is>
          <t>No</t>
        </is>
      </c>
      <c r="H10" s="4" t="inlineStr">
        <is>
          <t>Azure OpenAI</t>
        </is>
      </c>
      <c r="I10" s="4" t="inlineStr">
        <is>
          <t>source_output_id</t>
        </is>
      </c>
      <c r="J10" s="7" t="inlineStr">
        <is>
          <t>Approved</t>
        </is>
      </c>
    </row>
    <row r="11">
      <c r="A11" s="4" t="inlineStr">
        <is>
          <t>Recovery Email</t>
        </is>
      </c>
      <c r="B11" s="14" t="n">
        <v>0</v>
      </c>
      <c r="C11" s="14" t="n">
        <v>0</v>
      </c>
      <c r="D11" s="14" t="n">
        <v>0</v>
      </c>
      <c r="E11" s="4" t="inlineStr">
        <is>
          <t>Provider accepted</t>
        </is>
      </c>
      <c r="F11" s="4" t="inlineStr">
        <is>
          <t>Invalid/suppressed/ineligible</t>
        </is>
      </c>
      <c r="G11" s="4" t="inlineStr">
        <is>
          <t>No</t>
        </is>
      </c>
      <c r="H11" s="4" t="inlineStr">
        <is>
          <t>Resend Email API</t>
        </is>
      </c>
      <c r="I11" s="4" t="inlineStr">
        <is>
          <t>feedback_id</t>
        </is>
      </c>
      <c r="J11" s="7" t="inlineStr">
        <is>
          <t>Approved</t>
        </is>
      </c>
    </row>
    <row r="12">
      <c r="A12" s="4" t="inlineStr">
        <is>
          <t>Campaign Email recipient</t>
        </is>
      </c>
      <c r="B12" s="14" t="n">
        <v>0</v>
      </c>
      <c r="C12" s="14" t="n">
        <v>1</v>
      </c>
      <c r="D12" s="14" t="n">
        <v>0</v>
      </c>
      <c r="E12" s="4" t="inlineStr">
        <is>
          <t>Provider accepted</t>
        </is>
      </c>
      <c r="F12" s="4" t="inlineStr">
        <is>
          <t>Skipped before submission</t>
        </is>
      </c>
      <c r="G12" s="4" t="inlineStr">
        <is>
          <t>Yes</t>
        </is>
      </c>
      <c r="H12" s="4" t="inlineStr">
        <is>
          <t>CampaignEmailProvider</t>
        </is>
      </c>
      <c r="I12" s="4" t="inlineStr">
        <is>
          <t>campaign_recipient_id</t>
        </is>
      </c>
      <c r="J12" s="7" t="inlineStr">
        <is>
          <t>Approved</t>
        </is>
      </c>
    </row>
    <row r="13">
      <c r="A13" s="4" t="inlineStr">
        <is>
          <t>Recovery SMS segment</t>
        </is>
      </c>
      <c r="B13" s="14" t="n">
        <v>0</v>
      </c>
      <c r="C13" s="14" t="n">
        <v>0</v>
      </c>
      <c r="D13" s="14" t="n">
        <v>1</v>
      </c>
      <c r="E13" s="4" t="inlineStr">
        <is>
          <t>Segment accepted</t>
        </is>
      </c>
      <c r="F13" s="4" t="inlineStr">
        <is>
          <t>Skipped before submission</t>
        </is>
      </c>
      <c r="G13" s="4" t="inlineStr">
        <is>
          <t>Yes</t>
        </is>
      </c>
      <c r="H13" s="4" t="inlineStr">
        <is>
          <t>Twilio UK</t>
        </is>
      </c>
      <c r="I13" s="4" t="inlineStr">
        <is>
          <t>message_id</t>
        </is>
      </c>
      <c r="J13" s="7" t="inlineStr">
        <is>
          <t>Approved</t>
        </is>
      </c>
    </row>
    <row r="14">
      <c r="A14" s="4" t="inlineStr">
        <is>
          <t>Campaign SMS segment</t>
        </is>
      </c>
      <c r="B14" s="14" t="n">
        <v>0</v>
      </c>
      <c r="C14" s="14" t="n">
        <v>0</v>
      </c>
      <c r="D14" s="14" t="n">
        <v>1</v>
      </c>
      <c r="E14" s="4" t="inlineStr">
        <is>
          <t>Segment accepted</t>
        </is>
      </c>
      <c r="F14" s="4" t="inlineStr">
        <is>
          <t>Skipped before submission</t>
        </is>
      </c>
      <c r="G14" s="4" t="inlineStr">
        <is>
          <t>Yes</t>
        </is>
      </c>
      <c r="H14" s="4" t="inlineStr">
        <is>
          <t>Twilio UK</t>
        </is>
      </c>
      <c r="I14" s="4" t="inlineStr">
        <is>
          <t>campaign_recipient_id</t>
        </is>
      </c>
      <c r="J14" s="7" t="inlineStr">
        <is>
          <t>Approved</t>
        </is>
      </c>
    </row>
  </sheetData>
  <autoFilter ref="A4:J14"/>
  <mergeCells count="2">
    <mergeCell ref="A1:J1"/>
    <mergeCell ref="A2:J2"/>
  </mergeCells>
  <pageMargins left="0.25" right="0.25" top="0.35" bottom="0.35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47" customWidth="1" min="3" max="3"/>
    <col width="39" customWidth="1" min="4" max="4"/>
    <col width="25" customWidth="1" min="5" max="5"/>
    <col width="18" customWidth="1" min="6" max="6"/>
    <col width="14" customWidth="1" min="7" max="7"/>
  </cols>
  <sheetData>
    <row r="1" ht="29" customHeight="1">
      <c r="A1" s="1" t="inlineStr">
        <is>
          <t>Production Billing and Lifecycle Rules</t>
        </is>
      </c>
    </row>
    <row r="2" ht="38" customHeight="1">
      <c r="A2" s="2" t="inlineStr">
        <is>
          <t>Server-enforced rules with explicit states, permissions and audit.</t>
        </is>
      </c>
    </row>
    <row r="4">
      <c r="A4" s="3" t="inlineStr">
        <is>
          <t>Area</t>
        </is>
      </c>
      <c r="B4" s="3" t="inlineStr">
        <is>
          <t>Rule</t>
        </is>
      </c>
      <c r="C4" s="3" t="inlineStr">
        <is>
          <t>Server implementation</t>
        </is>
      </c>
      <c r="D4" s="3" t="inlineStr">
        <is>
          <t>Operator experience</t>
        </is>
      </c>
      <c r="E4" s="3" t="inlineStr">
        <is>
          <t>Audit</t>
        </is>
      </c>
      <c r="F4" s="3" t="inlineStr">
        <is>
          <t>Owner</t>
        </is>
      </c>
      <c r="G4" s="3" t="inlineStr">
        <is>
          <t>Status</t>
        </is>
      </c>
    </row>
    <row r="5">
      <c r="A5" s="4" t="inlineStr">
        <is>
          <t>UK scope</t>
        </is>
      </c>
      <c r="B5" s="4" t="inlineStr">
        <is>
          <t>GB and GBP only</t>
        </is>
      </c>
      <c r="C5" s="4" t="inlineStr">
        <is>
          <t>Reject unsupported account/Location country</t>
        </is>
      </c>
      <c r="D5" s="4" t="inlineStr">
        <is>
          <t>No international selector</t>
        </is>
      </c>
      <c r="E5" s="4" t="inlineStr">
        <is>
          <t>Account setup</t>
        </is>
      </c>
      <c r="F5" s="4" t="inlineStr">
        <is>
          <t>Product</t>
        </is>
      </c>
      <c r="G5" s="7" t="inlineStr">
        <is>
          <t>Approved</t>
        </is>
      </c>
    </row>
    <row r="6">
      <c r="A6" s="4" t="inlineStr">
        <is>
          <t>VAT</t>
        </is>
      </c>
      <c r="B6" s="4" t="inlineStr">
        <is>
          <t>20% exclusive</t>
        </is>
      </c>
      <c r="C6" s="4" t="inlineStr">
        <is>
          <t>Pence storage; invoice-line rounding; fail closed without VAT values</t>
        </is>
      </c>
      <c r="D6" s="4" t="inlineStr">
        <is>
          <t>Show net, VAT and gross</t>
        </is>
      </c>
      <c r="E6" s="4" t="inlineStr">
        <is>
          <t>Invoice/tax config</t>
        </is>
      </c>
      <c r="F6" s="4" t="inlineStr">
        <is>
          <t>Operations</t>
        </is>
      </c>
      <c r="G6" s="7" t="inlineStr">
        <is>
          <t>Approved</t>
        </is>
      </c>
    </row>
    <row r="7">
      <c r="A7" s="4" t="inlineStr">
        <is>
          <t>Pilot start</t>
        </is>
      </c>
      <c r="B7" s="4" t="inlineStr">
        <is>
          <t>Activation, not signup</t>
        </is>
      </c>
      <c r="C7" s="4" t="inlineStr">
        <is>
          <t>Create one-time entitlement on activation</t>
        </is>
      </c>
      <c r="D7" s="4" t="inlineStr">
        <is>
          <t>Show exact end date</t>
        </is>
      </c>
      <c r="E7" s="4" t="inlineStr">
        <is>
          <t>Activation event</t>
        </is>
      </c>
      <c r="F7" s="4" t="inlineStr">
        <is>
          <t>Product</t>
        </is>
      </c>
      <c r="G7" s="7" t="inlineStr">
        <is>
          <t>Approved</t>
        </is>
      </c>
    </row>
    <row r="8">
      <c r="A8" s="4" t="inlineStr">
        <is>
          <t>Starter kit</t>
        </is>
      </c>
      <c r="B8" s="4" t="inlineStr">
        <is>
          <t>One/account lifetime</t>
        </is>
      </c>
      <c r="C8" s="4" t="inlineStr">
        <is>
          <t>Unique entitlement record and dispatch gate</t>
        </is>
      </c>
      <c r="D8" s="4" t="inlineStr">
        <is>
          <t>Show fulfilled/not eligible</t>
        </is>
      </c>
      <c r="E8" s="4" t="inlineStr">
        <is>
          <t>Fulfilment event</t>
        </is>
      </c>
      <c r="F8" s="4" t="inlineStr">
        <is>
          <t>Operations</t>
        </is>
      </c>
      <c r="G8" s="7" t="inlineStr">
        <is>
          <t>Approved</t>
        </is>
      </c>
    </row>
    <row r="9">
      <c r="A9" s="4" t="inlineStr">
        <is>
          <t>Included credits</t>
        </is>
      </c>
      <c r="B9" s="4" t="inlineStr">
        <is>
          <t>Anniversary; no rollover</t>
        </is>
      </c>
      <c r="C9" s="4" t="inlineStr">
        <is>
          <t>Allocate only after paid renewal or active annual state</t>
        </is>
      </c>
      <c r="D9" s="4" t="inlineStr">
        <is>
          <t>Show reset date</t>
        </is>
      </c>
      <c r="E9" s="4" t="inlineStr">
        <is>
          <t>Allocation ledger</t>
        </is>
      </c>
      <c r="F9" s="4" t="inlineStr">
        <is>
          <t>Engineering</t>
        </is>
      </c>
      <c r="G9" s="7" t="inlineStr">
        <is>
          <t>Approved</t>
        </is>
      </c>
    </row>
    <row r="10">
      <c r="A10" s="4" t="inlineStr">
        <is>
          <t>Top-ups</t>
        </is>
      </c>
      <c r="B10" s="4" t="inlineStr">
        <is>
          <t>12 months; FEFO</t>
        </is>
      </c>
      <c r="C10" s="4" t="inlineStr">
        <is>
          <t>Expiry-aware allocation ledger</t>
        </is>
      </c>
      <c r="D10" s="4" t="inlineStr">
        <is>
          <t>Show expiry</t>
        </is>
      </c>
      <c r="E10" s="4" t="inlineStr">
        <is>
          <t>Top-up ledger</t>
        </is>
      </c>
      <c r="F10" s="4" t="inlineStr">
        <is>
          <t>Engineering</t>
        </is>
      </c>
      <c r="G10" s="7" t="inlineStr">
        <is>
          <t>Approved</t>
        </is>
      </c>
    </row>
    <row r="11">
      <c r="A11" s="4" t="inlineStr">
        <is>
          <t>Campaign reservation</t>
        </is>
      </c>
      <c r="B11" s="4" t="inlineStr">
        <is>
          <t>Atomic full estimate</t>
        </is>
      </c>
      <c r="C11" s="4" t="inlineStr">
        <is>
          <t>Transactional reserve, settle, release</t>
        </is>
      </c>
      <c r="D11" s="4" t="inlineStr">
        <is>
          <t>Show before/after balance</t>
        </is>
      </c>
      <c r="E11" s="4" t="inlineStr">
        <is>
          <t>Reservation ledger</t>
        </is>
      </c>
      <c r="F11" s="4" t="inlineStr">
        <is>
          <t>Engineering</t>
        </is>
      </c>
      <c r="G11" s="7" t="inlineStr">
        <is>
          <t>Approved</t>
        </is>
      </c>
    </row>
    <row r="12">
      <c r="A12" s="4" t="inlineStr">
        <is>
          <t>Skipped recipient</t>
        </is>
      </c>
      <c r="B12" s="4" t="inlineStr">
        <is>
          <t>Zero charge</t>
        </is>
      </c>
      <c r="C12" s="4" t="inlineStr">
        <is>
          <t>Remove before submission</t>
        </is>
      </c>
      <c r="D12" s="4" t="inlineStr">
        <is>
          <t>Show skipped count</t>
        </is>
      </c>
      <c r="E12" s="4" t="inlineStr">
        <is>
          <t>Recipient outcome</t>
        </is>
      </c>
      <c r="F12" s="4" t="inlineStr">
        <is>
          <t>Engineering</t>
        </is>
      </c>
      <c r="G12" s="7" t="inlineStr">
        <is>
          <t>Approved</t>
        </is>
      </c>
    </row>
    <row r="13">
      <c r="A13" s="4" t="inlineStr">
        <is>
          <t>Partial send</t>
        </is>
      </c>
      <c r="B13" s="4" t="inlineStr">
        <is>
          <t>Explicit state</t>
        </is>
      </c>
      <c r="C13" s="4" t="inlineStr">
        <is>
          <t>Idempotent reviewed retry</t>
        </is>
      </c>
      <c r="D13" s="4" t="inlineStr">
        <is>
          <t>Show accepted/failed/not attempted</t>
        </is>
      </c>
      <c r="E13" s="4" t="inlineStr">
        <is>
          <t>Campaign audit</t>
        </is>
      </c>
      <c r="F13" s="4" t="inlineStr">
        <is>
          <t>Engineering</t>
        </is>
      </c>
      <c r="G13" s="7" t="inlineStr">
        <is>
          <t>Approved</t>
        </is>
      </c>
    </row>
    <row r="14">
      <c r="A14" s="4" t="inlineStr">
        <is>
          <t>Provider email</t>
        </is>
      </c>
      <c r="B14" s="4" t="inlineStr">
        <is>
          <t>Adapter, not shared Broadcast Contacts</t>
        </is>
      </c>
      <c r="C14" s="4" t="inlineStr">
        <is>
          <t>Tenant-scoped suppression/unsubscribe</t>
        </is>
      </c>
      <c r="D14" s="4" t="inlineStr">
        <is>
          <t>No provider-specific complexity</t>
        </is>
      </c>
      <c r="E14" s="4" t="inlineStr">
        <is>
          <t>Provider config</t>
        </is>
      </c>
      <c r="F14" s="4" t="inlineStr">
        <is>
          <t>Engineering</t>
        </is>
      </c>
      <c r="G14" s="7" t="inlineStr">
        <is>
          <t>Approved</t>
        </is>
      </c>
    </row>
    <row r="15">
      <c r="A15" s="4" t="inlineStr">
        <is>
          <t>Upgrade</t>
        </is>
      </c>
      <c r="B15" s="4" t="inlineStr">
        <is>
          <t>Immediate, prorated</t>
        </is>
      </c>
      <c r="C15" s="4" t="inlineStr">
        <is>
          <t>Positive incremental allowance only</t>
        </is>
      </c>
      <c r="D15" s="4" t="inlineStr">
        <is>
          <t>Show immediate charge</t>
        </is>
      </c>
      <c r="E15" s="4" t="inlineStr">
        <is>
          <t>Subscription event</t>
        </is>
      </c>
      <c r="F15" s="4" t="inlineStr">
        <is>
          <t>Billing</t>
        </is>
      </c>
      <c r="G15" s="7" t="inlineStr">
        <is>
          <t>Approved</t>
        </is>
      </c>
    </row>
    <row r="16">
      <c r="A16" s="4" t="inlineStr">
        <is>
          <t>Downgrade</t>
        </is>
      </c>
      <c r="B16" s="4" t="inlineStr">
        <is>
          <t>Renewal</t>
        </is>
      </c>
      <c r="C16" s="4" t="inlineStr">
        <is>
          <t>Resolve entitlement conflict</t>
        </is>
      </c>
      <c r="D16" s="4" t="inlineStr">
        <is>
          <t>Show future date</t>
        </is>
      </c>
      <c r="E16" s="4" t="inlineStr">
        <is>
          <t>Subscription event</t>
        </is>
      </c>
      <c r="F16" s="4" t="inlineStr">
        <is>
          <t>Billing</t>
        </is>
      </c>
      <c r="G16" s="7" t="inlineStr">
        <is>
          <t>Approved</t>
        </is>
      </c>
    </row>
    <row r="17">
      <c r="A17" s="4" t="inlineStr">
        <is>
          <t>Chargeback</t>
        </is>
      </c>
      <c r="B17" s="4" t="inlineStr">
        <is>
          <t>Restrict and reconcile</t>
        </is>
      </c>
      <c r="C17" s="4" t="inlineStr">
        <is>
          <t>Reverse unused linked credits; manual resolution if consumed</t>
        </is>
      </c>
      <c r="D17" s="4" t="inlineStr">
        <is>
          <t>Clear restricted state</t>
        </is>
      </c>
      <c r="E17" s="4" t="inlineStr">
        <is>
          <t>Dispute event</t>
        </is>
      </c>
      <c r="F17" s="4" t="inlineStr">
        <is>
          <t>Support</t>
        </is>
      </c>
      <c r="G17" s="7" t="inlineStr">
        <is>
          <t>Approved</t>
        </is>
      </c>
    </row>
    <row r="18">
      <c r="A18" s="4" t="inlineStr">
        <is>
          <t>Pricebook</t>
        </is>
      </c>
      <c r="B18" s="4" t="inlineStr">
        <is>
          <t>Immutable and versioned</t>
        </is>
      </c>
      <c r="C18" s="4" t="inlineStr">
        <is>
          <t>New Prices for future changes</t>
        </is>
      </c>
      <c r="D18" s="4" t="inlineStr">
        <is>
          <t>Contracted price retained</t>
        </is>
      </c>
      <c r="E18" s="4" t="inlineStr">
        <is>
          <t>Pricebook event</t>
        </is>
      </c>
      <c r="F18" s="4" t="inlineStr">
        <is>
          <t>Engineering</t>
        </is>
      </c>
      <c r="G18" s="7" t="inlineStr">
        <is>
          <t>Approved</t>
        </is>
      </c>
    </row>
  </sheetData>
  <autoFilter ref="A4:G18"/>
  <mergeCells count="2">
    <mergeCell ref="A2:G2"/>
    <mergeCell ref="A1:G1"/>
  </mergeCells>
  <pageMargins left="0.25" right="0.25" top="0.35" bottom="0.35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31" customWidth="1" min="9" max="9"/>
  </cols>
  <sheetData>
    <row r="1" ht="29" customHeight="1">
      <c r="A1" s="1" t="inlineStr">
        <is>
          <t>Stripe Product and Price Catalogue</t>
        </is>
      </c>
    </row>
    <row r="2" ht="38" customHeight="1">
      <c r="A2" s="2" t="inlineStr">
        <is>
          <t>Create new immutable Stripe Prices. Insert live IDs after creation. Do not edit active Price amounts.</t>
        </is>
      </c>
    </row>
    <row r="4">
      <c r="A4" s="3" t="inlineStr">
        <is>
          <t>Type</t>
        </is>
      </c>
      <c r="B4" s="3" t="inlineStr">
        <is>
          <t>Public name</t>
        </is>
      </c>
      <c r="C4" s="3" t="inlineStr">
        <is>
          <t>Lookup key</t>
        </is>
      </c>
      <c r="D4" s="3" t="inlineStr">
        <is>
          <t>Interval</t>
        </is>
      </c>
      <c r="E4" s="3" t="inlineStr">
        <is>
          <t>Net pence</t>
        </is>
      </c>
      <c r="F4" s="3" t="inlineStr">
        <is>
          <t>Net GBP</t>
        </is>
      </c>
      <c r="G4" s="3" t="inlineStr">
        <is>
          <t>VAT</t>
        </is>
      </c>
      <c r="H4" s="3" t="inlineStr">
        <is>
          <t>Gross</t>
        </is>
      </c>
      <c r="I4" s="3" t="inlineStr">
        <is>
          <t>Live Stripe Price ID</t>
        </is>
      </c>
    </row>
    <row r="5">
      <c r="A5" s="4" t="inlineStr">
        <is>
          <t>Subscription</t>
        </is>
      </c>
      <c r="B5" s="4" t="inlineStr">
        <is>
          <t>Starter monthly</t>
        </is>
      </c>
      <c r="C5" s="4" t="inlineStr">
        <is>
          <t>tummly_starter_monthly_gbp_v3</t>
        </is>
      </c>
      <c r="D5" s="4" t="inlineStr">
        <is>
          <t>month</t>
        </is>
      </c>
      <c r="E5" s="16" t="n">
        <v>3900</v>
      </c>
      <c r="F5" s="5">
        <f>E5/100</f>
        <v/>
      </c>
      <c r="G5" s="5">
        <f>F5*Assumptions!$B$5</f>
        <v/>
      </c>
      <c r="H5" s="5">
        <f>F5+G5</f>
        <v/>
      </c>
      <c r="I5" s="15" t="inlineStr">
        <is>
          <t>INSERT AFTER STRIPE CREATION</t>
        </is>
      </c>
    </row>
    <row r="6">
      <c r="A6" s="4" t="inlineStr">
        <is>
          <t>Subscription</t>
        </is>
      </c>
      <c r="B6" s="4" t="inlineStr">
        <is>
          <t>Starter annual</t>
        </is>
      </c>
      <c r="C6" s="4" t="inlineStr">
        <is>
          <t>tummly_starter_annual_gbp_v3</t>
        </is>
      </c>
      <c r="D6" s="4" t="inlineStr">
        <is>
          <t>year</t>
        </is>
      </c>
      <c r="E6" s="16" t="n">
        <v>39800</v>
      </c>
      <c r="F6" s="5">
        <f>E6/100</f>
        <v/>
      </c>
      <c r="G6" s="5">
        <f>F6*Assumptions!$B$5</f>
        <v/>
      </c>
      <c r="H6" s="5">
        <f>F6+G6</f>
        <v/>
      </c>
      <c r="I6" s="15" t="inlineStr">
        <is>
          <t>INSERT AFTER STRIPE CREATION</t>
        </is>
      </c>
    </row>
    <row r="7">
      <c r="A7" s="4" t="inlineStr">
        <is>
          <t>Subscription</t>
        </is>
      </c>
      <c r="B7" s="4" t="inlineStr">
        <is>
          <t>Growth monthly</t>
        </is>
      </c>
      <c r="C7" s="4" t="inlineStr">
        <is>
          <t>tummly_growth_monthly_gbp_v3</t>
        </is>
      </c>
      <c r="D7" s="4" t="inlineStr">
        <is>
          <t>month</t>
        </is>
      </c>
      <c r="E7" s="16" t="n">
        <v>9900</v>
      </c>
      <c r="F7" s="5">
        <f>E7/100</f>
        <v/>
      </c>
      <c r="G7" s="5">
        <f>F7*Assumptions!$B$5</f>
        <v/>
      </c>
      <c r="H7" s="5">
        <f>F7+G7</f>
        <v/>
      </c>
      <c r="I7" s="15" t="inlineStr">
        <is>
          <t>INSERT AFTER STRIPE CREATION</t>
        </is>
      </c>
    </row>
    <row r="8">
      <c r="A8" s="4" t="inlineStr">
        <is>
          <t>Subscription</t>
        </is>
      </c>
      <c r="B8" s="4" t="inlineStr">
        <is>
          <t>Growth annual</t>
        </is>
      </c>
      <c r="C8" s="4" t="inlineStr">
        <is>
          <t>tummly_growth_annual_gbp_v3</t>
        </is>
      </c>
      <c r="D8" s="4" t="inlineStr">
        <is>
          <t>year</t>
        </is>
      </c>
      <c r="E8" s="16" t="n">
        <v>101000</v>
      </c>
      <c r="F8" s="5">
        <f>E8/100</f>
        <v/>
      </c>
      <c r="G8" s="5">
        <f>F8*Assumptions!$B$5</f>
        <v/>
      </c>
      <c r="H8" s="5">
        <f>F8+G8</f>
        <v/>
      </c>
      <c r="I8" s="15" t="inlineStr">
        <is>
          <t>INSERT AFTER STRIPE CREATION</t>
        </is>
      </c>
    </row>
    <row r="9">
      <c r="A9" s="4" t="inlineStr">
        <is>
          <t>Subscription</t>
        </is>
      </c>
      <c r="B9" s="4" t="inlineStr">
        <is>
          <t>Group monthly</t>
        </is>
      </c>
      <c r="C9" s="4" t="inlineStr">
        <is>
          <t>tummly_group_monthly_gbp_v3</t>
        </is>
      </c>
      <c r="D9" s="4" t="inlineStr">
        <is>
          <t>month</t>
        </is>
      </c>
      <c r="E9" s="16" t="n">
        <v>19900</v>
      </c>
      <c r="F9" s="5">
        <f>E9/100</f>
        <v/>
      </c>
      <c r="G9" s="5">
        <f>F9*Assumptions!$B$5</f>
        <v/>
      </c>
      <c r="H9" s="5">
        <f>F9+G9</f>
        <v/>
      </c>
      <c r="I9" s="15" t="inlineStr">
        <is>
          <t>INSERT AFTER STRIPE CREATION</t>
        </is>
      </c>
    </row>
    <row r="10">
      <c r="A10" s="4" t="inlineStr">
        <is>
          <t>Subscription</t>
        </is>
      </c>
      <c r="B10" s="4" t="inlineStr">
        <is>
          <t>Group annual</t>
        </is>
      </c>
      <c r="C10" s="4" t="inlineStr">
        <is>
          <t>tummly_group_annual_gbp_v3</t>
        </is>
      </c>
      <c r="D10" s="4" t="inlineStr">
        <is>
          <t>year</t>
        </is>
      </c>
      <c r="E10" s="16" t="n">
        <v>203000</v>
      </c>
      <c r="F10" s="5">
        <f>E10/100</f>
        <v/>
      </c>
      <c r="G10" s="5">
        <f>F10*Assumptions!$B$5</f>
        <v/>
      </c>
      <c r="H10" s="5">
        <f>F10+G10</f>
        <v/>
      </c>
      <c r="I10" s="15" t="inlineStr">
        <is>
          <t>INSERT AFTER STRIPE CREATION</t>
        </is>
      </c>
    </row>
    <row r="11">
      <c r="A11" s="4" t="inlineStr">
        <is>
          <t>Subscription</t>
        </is>
      </c>
      <c r="B11" s="4" t="inlineStr">
        <is>
          <t>Additional Group Location monthly</t>
        </is>
      </c>
      <c r="C11" s="4" t="inlineStr">
        <is>
          <t>tummly_group_location_monthly_gbp_v3</t>
        </is>
      </c>
      <c r="D11" s="4" t="inlineStr">
        <is>
          <t>month</t>
        </is>
      </c>
      <c r="E11" s="16" t="n">
        <v>3900</v>
      </c>
      <c r="F11" s="5">
        <f>E11/100</f>
        <v/>
      </c>
      <c r="G11" s="5">
        <f>F11*Assumptions!$B$5</f>
        <v/>
      </c>
      <c r="H11" s="5">
        <f>F11+G11</f>
        <v/>
      </c>
      <c r="I11" s="15" t="inlineStr">
        <is>
          <t>INSERT AFTER STRIPE CREATION</t>
        </is>
      </c>
    </row>
    <row r="12">
      <c r="A12" s="4" t="inlineStr">
        <is>
          <t>Subscription</t>
        </is>
      </c>
      <c r="B12" s="4" t="inlineStr">
        <is>
          <t>Additional Group Location annual</t>
        </is>
      </c>
      <c r="C12" s="4" t="inlineStr">
        <is>
          <t>tummly_group_location_annual_gbp_v3</t>
        </is>
      </c>
      <c r="D12" s="4" t="inlineStr">
        <is>
          <t>year</t>
        </is>
      </c>
      <c r="E12" s="16" t="n">
        <v>39800</v>
      </c>
      <c r="F12" s="5">
        <f>E12/100</f>
        <v/>
      </c>
      <c r="G12" s="5">
        <f>F12*Assumptions!$B$5</f>
        <v/>
      </c>
      <c r="H12" s="5">
        <f>F12+G12</f>
        <v/>
      </c>
      <c r="I12" s="15" t="inlineStr">
        <is>
          <t>INSERT AFTER STRIPE CREATION</t>
        </is>
      </c>
    </row>
    <row r="13">
      <c r="A13" s="4" t="inlineStr">
        <is>
          <t>One-time</t>
        </is>
      </c>
      <c r="B13" s="4" t="inlineStr">
        <is>
          <t>100 AI actions</t>
        </is>
      </c>
      <c r="C13" s="4" t="inlineStr">
        <is>
          <t>tummly_ai_100_gbp_v3</t>
        </is>
      </c>
      <c r="D13" s="4" t="inlineStr">
        <is>
          <t>one_time</t>
        </is>
      </c>
      <c r="E13" s="16" t="n">
        <v>500</v>
      </c>
      <c r="F13" s="5">
        <f>E13/100</f>
        <v/>
      </c>
      <c r="G13" s="5">
        <f>F13*Assumptions!$B$5</f>
        <v/>
      </c>
      <c r="H13" s="5">
        <f>F13+G13</f>
        <v/>
      </c>
      <c r="I13" s="15" t="inlineStr">
        <is>
          <t>INSERT AFTER STRIPE CREATION</t>
        </is>
      </c>
    </row>
    <row r="14">
      <c r="A14" s="4" t="inlineStr">
        <is>
          <t>One-time</t>
        </is>
      </c>
      <c r="B14" s="4" t="inlineStr">
        <is>
          <t>500 AI actions</t>
        </is>
      </c>
      <c r="C14" s="4" t="inlineStr">
        <is>
          <t>tummly_ai_500_gbp_v3</t>
        </is>
      </c>
      <c r="D14" s="4" t="inlineStr">
        <is>
          <t>one_time</t>
        </is>
      </c>
      <c r="E14" s="16" t="n">
        <v>1500</v>
      </c>
      <c r="F14" s="5">
        <f>E14/100</f>
        <v/>
      </c>
      <c r="G14" s="5">
        <f>F14*Assumptions!$B$5</f>
        <v/>
      </c>
      <c r="H14" s="5">
        <f>F14+G14</f>
        <v/>
      </c>
      <c r="I14" s="15" t="inlineStr">
        <is>
          <t>INSERT AFTER STRIPE CREATION</t>
        </is>
      </c>
    </row>
    <row r="15">
      <c r="A15" s="4" t="inlineStr">
        <is>
          <t>One-time</t>
        </is>
      </c>
      <c r="B15" s="4" t="inlineStr">
        <is>
          <t>2,000 AI actions</t>
        </is>
      </c>
      <c r="C15" s="4" t="inlineStr">
        <is>
          <t>tummly_ai_2000_gbp_v3</t>
        </is>
      </c>
      <c r="D15" s="4" t="inlineStr">
        <is>
          <t>one_time</t>
        </is>
      </c>
      <c r="E15" s="16" t="n">
        <v>3900</v>
      </c>
      <c r="F15" s="5">
        <f>E15/100</f>
        <v/>
      </c>
      <c r="G15" s="5">
        <f>F15*Assumptions!$B$5</f>
        <v/>
      </c>
      <c r="H15" s="5">
        <f>F15+G15</f>
        <v/>
      </c>
      <c r="I15" s="15" t="inlineStr">
        <is>
          <t>INSERT AFTER STRIPE CREATION</t>
        </is>
      </c>
    </row>
    <row r="16">
      <c r="A16" s="4" t="inlineStr">
        <is>
          <t>One-time</t>
        </is>
      </c>
      <c r="B16" s="4" t="inlineStr">
        <is>
          <t>5,000 Email credits</t>
        </is>
      </c>
      <c r="C16" s="4" t="inlineStr">
        <is>
          <t>tummly_email_5000_gbp_v3</t>
        </is>
      </c>
      <c r="D16" s="4" t="inlineStr">
        <is>
          <t>one_time</t>
        </is>
      </c>
      <c r="E16" s="16" t="n">
        <v>1000</v>
      </c>
      <c r="F16" s="5">
        <f>E16/100</f>
        <v/>
      </c>
      <c r="G16" s="5">
        <f>F16*Assumptions!$B$5</f>
        <v/>
      </c>
      <c r="H16" s="5">
        <f>F16+G16</f>
        <v/>
      </c>
      <c r="I16" s="15" t="inlineStr">
        <is>
          <t>INSERT AFTER STRIPE CREATION</t>
        </is>
      </c>
    </row>
    <row r="17">
      <c r="A17" s="4" t="inlineStr">
        <is>
          <t>One-time</t>
        </is>
      </c>
      <c r="B17" s="4" t="inlineStr">
        <is>
          <t>20,000 Email credits</t>
        </is>
      </c>
      <c r="C17" s="4" t="inlineStr">
        <is>
          <t>tummly_email_20000_gbp_v3</t>
        </is>
      </c>
      <c r="D17" s="4" t="inlineStr">
        <is>
          <t>one_time</t>
        </is>
      </c>
      <c r="E17" s="16" t="n">
        <v>3000</v>
      </c>
      <c r="F17" s="5">
        <f>E17/100</f>
        <v/>
      </c>
      <c r="G17" s="5">
        <f>F17*Assumptions!$B$5</f>
        <v/>
      </c>
      <c r="H17" s="5">
        <f>F17+G17</f>
        <v/>
      </c>
      <c r="I17" s="15" t="inlineStr">
        <is>
          <t>INSERT AFTER STRIPE CREATION</t>
        </is>
      </c>
    </row>
    <row r="18">
      <c r="A18" s="4" t="inlineStr">
        <is>
          <t>One-time</t>
        </is>
      </c>
      <c r="B18" s="4" t="inlineStr">
        <is>
          <t>50,000 Email credits</t>
        </is>
      </c>
      <c r="C18" s="4" t="inlineStr">
        <is>
          <t>tummly_email_50000_gbp_v3</t>
        </is>
      </c>
      <c r="D18" s="4" t="inlineStr">
        <is>
          <t>one_time</t>
        </is>
      </c>
      <c r="E18" s="16" t="n">
        <v>6000</v>
      </c>
      <c r="F18" s="5">
        <f>E18/100</f>
        <v/>
      </c>
      <c r="G18" s="5">
        <f>F18*Assumptions!$B$5</f>
        <v/>
      </c>
      <c r="H18" s="5">
        <f>F18+G18</f>
        <v/>
      </c>
      <c r="I18" s="15" t="inlineStr">
        <is>
          <t>INSERT AFTER STRIPE CREATION</t>
        </is>
      </c>
    </row>
    <row r="19">
      <c r="A19" s="4" t="inlineStr">
        <is>
          <t>One-time</t>
        </is>
      </c>
      <c r="B19" s="4" t="inlineStr">
        <is>
          <t>100 SMS segments</t>
        </is>
      </c>
      <c r="C19" s="4" t="inlineStr">
        <is>
          <t>tummly_sms_100_gbp_v3</t>
        </is>
      </c>
      <c r="D19" s="4" t="inlineStr">
        <is>
          <t>one_time</t>
        </is>
      </c>
      <c r="E19" s="16" t="n">
        <v>1200</v>
      </c>
      <c r="F19" s="5">
        <f>E19/100</f>
        <v/>
      </c>
      <c r="G19" s="5">
        <f>F19*Assumptions!$B$5</f>
        <v/>
      </c>
      <c r="H19" s="5">
        <f>F19+G19</f>
        <v/>
      </c>
      <c r="I19" s="15" t="inlineStr">
        <is>
          <t>INSERT AFTER STRIPE CREATION</t>
        </is>
      </c>
    </row>
    <row r="20">
      <c r="A20" s="4" t="inlineStr">
        <is>
          <t>One-time</t>
        </is>
      </c>
      <c r="B20" s="4" t="inlineStr">
        <is>
          <t>500 SMS segments</t>
        </is>
      </c>
      <c r="C20" s="4" t="inlineStr">
        <is>
          <t>tummly_sms_500_gbp_v3</t>
        </is>
      </c>
      <c r="D20" s="4" t="inlineStr">
        <is>
          <t>one_time</t>
        </is>
      </c>
      <c r="E20" s="16" t="n">
        <v>5500</v>
      </c>
      <c r="F20" s="5">
        <f>E20/100</f>
        <v/>
      </c>
      <c r="G20" s="5">
        <f>F20*Assumptions!$B$5</f>
        <v/>
      </c>
      <c r="H20" s="5">
        <f>F20+G20</f>
        <v/>
      </c>
      <c r="I20" s="15" t="inlineStr">
        <is>
          <t>INSERT AFTER STRIPE CREATION</t>
        </is>
      </c>
    </row>
    <row r="21">
      <c r="A21" s="4" t="inlineStr">
        <is>
          <t>One-time</t>
        </is>
      </c>
      <c r="B21" s="4" t="inlineStr">
        <is>
          <t>1,000 SMS segments</t>
        </is>
      </c>
      <c r="C21" s="4" t="inlineStr">
        <is>
          <t>tummly_sms_1000_gbp_v3</t>
        </is>
      </c>
      <c r="D21" s="4" t="inlineStr">
        <is>
          <t>one_time</t>
        </is>
      </c>
      <c r="E21" s="16" t="n">
        <v>10000</v>
      </c>
      <c r="F21" s="5">
        <f>E21/100</f>
        <v/>
      </c>
      <c r="G21" s="5">
        <f>F21*Assumptions!$B$5</f>
        <v/>
      </c>
      <c r="H21" s="5">
        <f>F21+G21</f>
        <v/>
      </c>
      <c r="I21" s="15" t="inlineStr">
        <is>
          <t>INSERT AFTER STRIPE CREATION</t>
        </is>
      </c>
    </row>
    <row r="22">
      <c r="A22" s="4" t="inlineStr">
        <is>
          <t>One-time</t>
        </is>
      </c>
      <c r="B22" s="4" t="inlineStr">
        <is>
          <t>5,000 SMS segments</t>
        </is>
      </c>
      <c r="C22" s="4" t="inlineStr">
        <is>
          <t>tummly_sms_5000_gbp_v3</t>
        </is>
      </c>
      <c r="D22" s="4" t="inlineStr">
        <is>
          <t>one_time</t>
        </is>
      </c>
      <c r="E22" s="16" t="n">
        <v>45000</v>
      </c>
      <c r="F22" s="5">
        <f>E22/100</f>
        <v/>
      </c>
      <c r="G22" s="5">
        <f>F22*Assumptions!$B$5</f>
        <v/>
      </c>
      <c r="H22" s="5">
        <f>F22+G22</f>
        <v/>
      </c>
      <c r="I22" s="15" t="inlineStr">
        <is>
          <t>INSERT AFTER STRIPE CREATION</t>
        </is>
      </c>
    </row>
  </sheetData>
  <autoFilter ref="A4:I22"/>
  <mergeCells count="2">
    <mergeCell ref="A1:I1"/>
    <mergeCell ref="A2:I2"/>
  </mergeCells>
  <pageMargins left="0.25" right="0.25" top="0.35" bottom="0.35" header="0.5" footer="0.5"/>
  <pageSetup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22" customWidth="1" min="3" max="3"/>
    <col width="12" customWidth="1" min="4" max="4"/>
    <col width="14" customWidth="1" min="5" max="5"/>
    <col width="20" customWidth="1" min="6" max="6"/>
    <col width="42" customWidth="1" min="7" max="7"/>
  </cols>
  <sheetData>
    <row r="1" ht="29" customHeight="1">
      <c r="A1" s="1" t="inlineStr">
        <is>
          <t>Automated Cross-File and Model Controls</t>
        </is>
      </c>
    </row>
    <row r="2" ht="38" customHeight="1">
      <c r="A2" s="2" t="inlineStr">
        <is>
          <t>These controls document the final audit tests. PASS is required before handoff.</t>
        </is>
      </c>
    </row>
    <row r="4">
      <c r="A4" s="3" t="inlineStr">
        <is>
          <t>Control</t>
        </is>
      </c>
      <c r="B4" s="3" t="inlineStr">
        <is>
          <t>Expected</t>
        </is>
      </c>
      <c r="C4" s="3" t="inlineStr">
        <is>
          <t>Actual / formula</t>
        </is>
      </c>
      <c r="D4" s="3" t="inlineStr">
        <is>
          <t>Result</t>
        </is>
      </c>
      <c r="E4" s="3" t="inlineStr">
        <is>
          <t>Severity</t>
        </is>
      </c>
      <c r="F4" s="3" t="inlineStr">
        <is>
          <t>Owner</t>
        </is>
      </c>
      <c r="G4" s="3" t="inlineStr">
        <is>
          <t>Notes</t>
        </is>
      </c>
    </row>
    <row r="5">
      <c r="A5" s="4" t="inlineStr">
        <is>
          <t>Plan mix totals 100%</t>
        </is>
      </c>
      <c r="B5" s="4" t="inlineStr">
        <is>
          <t>100%</t>
        </is>
      </c>
      <c r="C5" s="17">
        <f>Assumptions!B22+Assumptions!B23+Assumptions!B24</f>
        <v/>
      </c>
      <c r="D5" s="7">
        <f>IF(ABS(C5-1)&lt;0.000001,"PASS","FAIL")</f>
        <v/>
      </c>
      <c r="E5" s="4" t="inlineStr">
        <is>
          <t>High</t>
        </is>
      </c>
      <c r="F5" s="4" t="inlineStr">
        <is>
          <t>Commercial</t>
        </is>
      </c>
      <c r="G5" s="4" t="inlineStr">
        <is>
          <t>Scenario validity</t>
        </is>
      </c>
    </row>
    <row r="6">
      <c r="A6" s="4" t="inlineStr">
        <is>
          <t>VAT rate</t>
        </is>
      </c>
      <c r="B6" s="4" t="inlineStr">
        <is>
          <t>20%</t>
        </is>
      </c>
      <c r="C6" s="17">
        <f>Assumptions!B5</f>
        <v/>
      </c>
      <c r="D6" s="7">
        <f>IF(ABS(C6-20%)&lt;0.000001,"PASS","FAIL")</f>
        <v/>
      </c>
      <c r="E6" s="4" t="inlineStr">
        <is>
          <t>Critical</t>
        </is>
      </c>
      <c r="F6" s="4" t="inlineStr">
        <is>
          <t>Operations</t>
        </is>
      </c>
      <c r="G6" s="4" t="inlineStr">
        <is>
          <t>UK launch</t>
        </is>
      </c>
    </row>
    <row r="7">
      <c r="A7" s="4" t="inlineStr">
        <is>
          <t>Starter gross</t>
        </is>
      </c>
      <c r="B7" s="4" t="inlineStr">
        <is>
          <t>£46.80</t>
        </is>
      </c>
      <c r="C7" s="5">
        <f>'Plan Economics'!D6</f>
        <v/>
      </c>
      <c r="D7" s="7">
        <f>IF(ABS(C7-46.8)&lt;0.01,"PASS","FAIL")</f>
        <v/>
      </c>
      <c r="E7" s="4" t="inlineStr">
        <is>
          <t>High</t>
        </is>
      </c>
      <c r="F7" s="4" t="inlineStr">
        <is>
          <t>Billing</t>
        </is>
      </c>
      <c r="G7" s="4" t="inlineStr">
        <is>
          <t>39 + VAT</t>
        </is>
      </c>
    </row>
    <row r="8">
      <c r="A8" s="4" t="inlineStr">
        <is>
          <t>Growth gross</t>
        </is>
      </c>
      <c r="B8" s="4" t="inlineStr">
        <is>
          <t>£118.80</t>
        </is>
      </c>
      <c r="C8" s="5">
        <f>'Plan Economics'!D7</f>
        <v/>
      </c>
      <c r="D8" s="7">
        <f>IF(ABS(C8-118.8)&lt;0.01,"PASS","FAIL")</f>
        <v/>
      </c>
      <c r="E8" s="4" t="inlineStr">
        <is>
          <t>High</t>
        </is>
      </c>
      <c r="F8" s="4" t="inlineStr">
        <is>
          <t>Billing</t>
        </is>
      </c>
      <c r="G8" s="4" t="inlineStr">
        <is>
          <t>99 + VAT</t>
        </is>
      </c>
    </row>
    <row r="9">
      <c r="A9" s="4" t="inlineStr">
        <is>
          <t>Group gross</t>
        </is>
      </c>
      <c r="B9" s="4" t="inlineStr">
        <is>
          <t>£238.80</t>
        </is>
      </c>
      <c r="C9" s="5">
        <f>'Plan Economics'!D8</f>
        <v/>
      </c>
      <c r="D9" s="7">
        <f>IF(ABS(C9-238.8)&lt;0.01,"PASS","FAIL")</f>
        <v/>
      </c>
      <c r="E9" s="4" t="inlineStr">
        <is>
          <t>High</t>
        </is>
      </c>
      <c r="F9" s="4" t="inlineStr">
        <is>
          <t>Billing</t>
        </is>
      </c>
      <c r="G9" s="4" t="inlineStr">
        <is>
          <t>199 + VAT</t>
        </is>
      </c>
    </row>
    <row r="10">
      <c r="A10" s="4" t="inlineStr">
        <is>
          <t>No negative top-up contribution</t>
        </is>
      </c>
      <c r="B10" s="4" t="inlineStr">
        <is>
          <t>&gt; £0</t>
        </is>
      </c>
      <c r="C10" s="5">
        <f>MIN('Top-Up Economics'!J5:J14)</f>
        <v/>
      </c>
      <c r="D10" s="7">
        <f>IF(C10&gt;0,"PASS","FAIL")</f>
        <v/>
      </c>
      <c r="E10" s="4" t="inlineStr">
        <is>
          <t>Critical</t>
        </is>
      </c>
      <c r="F10" s="4" t="inlineStr">
        <is>
          <t>Commercial</t>
        </is>
      </c>
      <c r="G10" s="4" t="inlineStr">
        <is>
          <t>Pack viability</t>
        </is>
      </c>
    </row>
    <row r="11">
      <c r="A11" s="4" t="inlineStr">
        <is>
          <t>Starter variable margin positive</t>
        </is>
      </c>
      <c r="B11" s="4" t="inlineStr">
        <is>
          <t>&gt; 0%</t>
        </is>
      </c>
      <c r="C11" s="17">
        <f>'Plan Economics'!N6</f>
        <v/>
      </c>
      <c r="D11" s="7">
        <f>IF(C11&gt;0,"PASS","FAIL")</f>
        <v/>
      </c>
      <c r="E11" s="4" t="inlineStr">
        <is>
          <t>High</t>
        </is>
      </c>
      <c r="F11" s="4" t="inlineStr">
        <is>
          <t>Commercial</t>
        </is>
      </c>
      <c r="G11" s="4" t="inlineStr">
        <is>
          <t>Full use</t>
        </is>
      </c>
    </row>
    <row r="12">
      <c r="A12" s="4" t="inlineStr">
        <is>
          <t>Growth variable margin positive</t>
        </is>
      </c>
      <c r="B12" s="4" t="inlineStr">
        <is>
          <t>&gt; 0%</t>
        </is>
      </c>
      <c r="C12" s="17">
        <f>'Plan Economics'!N7</f>
        <v/>
      </c>
      <c r="D12" s="7">
        <f>IF(C12&gt;0,"PASS","FAIL")</f>
        <v/>
      </c>
      <c r="E12" s="4" t="inlineStr">
        <is>
          <t>High</t>
        </is>
      </c>
      <c r="F12" s="4" t="inlineStr">
        <is>
          <t>Commercial</t>
        </is>
      </c>
      <c r="G12" s="4" t="inlineStr">
        <is>
          <t>Full use</t>
        </is>
      </c>
    </row>
    <row r="13">
      <c r="A13" s="4" t="inlineStr">
        <is>
          <t>Group variable margin positive</t>
        </is>
      </c>
      <c r="B13" s="4" t="inlineStr">
        <is>
          <t>&gt; 0%</t>
        </is>
      </c>
      <c r="C13" s="17">
        <f>'Plan Economics'!N8</f>
        <v/>
      </c>
      <c r="D13" s="7">
        <f>IF(C13&gt;0,"PASS","FAIL")</f>
        <v/>
      </c>
      <c r="E13" s="4" t="inlineStr">
        <is>
          <t>High</t>
        </is>
      </c>
      <c r="F13" s="4" t="inlineStr">
        <is>
          <t>Commercial</t>
        </is>
      </c>
      <c r="G13" s="4" t="inlineStr">
        <is>
          <t>Full use</t>
        </is>
      </c>
    </row>
    <row r="14">
      <c r="A14" s="4" t="inlineStr">
        <is>
          <t>Base scenario break-even finite</t>
        </is>
      </c>
      <c r="B14" s="4" t="inlineStr">
        <is>
          <t>&gt; 0</t>
        </is>
      </c>
      <c r="C14" s="4">
        <f>'Scenario Model'!I6</f>
        <v/>
      </c>
      <c r="D14" s="7">
        <f>IF(C14&gt;0,"PASS","FAIL")</f>
        <v/>
      </c>
      <c r="E14" s="4" t="inlineStr">
        <is>
          <t>High</t>
        </is>
      </c>
      <c r="F14" s="4" t="inlineStr">
        <is>
          <t>Commercial</t>
        </is>
      </c>
      <c r="G14" s="4" t="inlineStr">
        <is>
          <t>Base case</t>
        </is>
      </c>
    </row>
  </sheetData>
  <autoFilter ref="A4:G14"/>
  <mergeCells count="2">
    <mergeCell ref="A2:G2"/>
    <mergeCell ref="A1:G1"/>
  </mergeCells>
  <pageMargins left="0.25" right="0.25" top="0.35" bottom="0.35" header="0.5" footer="0.5"/>
  <pageSetup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75" customWidth="1" min="3" max="3"/>
    <col width="14" customWidth="1" min="4" max="4"/>
    <col width="40" customWidth="1" min="5" max="5"/>
    <col width="42" customWidth="1" min="6" max="6"/>
  </cols>
  <sheetData>
    <row r="1" ht="29" customHeight="1">
      <c r="A1" s="1" t="inlineStr">
        <is>
          <t>Source Register</t>
        </is>
      </c>
    </row>
    <row r="2" ht="38" customHeight="1">
      <c r="A2" s="2" t="inlineStr">
        <is>
          <t>Official sources checked during final audit, plus internal Tummly source records.</t>
        </is>
      </c>
    </row>
    <row r="4">
      <c r="A4" s="3" t="inlineStr">
        <is>
          <t>Source</t>
        </is>
      </c>
      <c r="B4" s="3" t="inlineStr">
        <is>
          <t>Purpose</t>
        </is>
      </c>
      <c r="C4" s="3" t="inlineStr">
        <is>
          <t>URL / record</t>
        </is>
      </c>
      <c r="D4" s="3" t="inlineStr">
        <is>
          <t>Checked</t>
        </is>
      </c>
      <c r="E4" s="3" t="inlineStr">
        <is>
          <t>Finding</t>
        </is>
      </c>
      <c r="F4" s="3" t="inlineStr">
        <is>
          <t>Applied change</t>
        </is>
      </c>
    </row>
    <row r="5">
      <c r="A5" s="4" t="inlineStr">
        <is>
          <t>HMRC VAT rates</t>
        </is>
      </c>
      <c r="B5" s="4" t="inlineStr">
        <is>
          <t>UK VAT rate</t>
        </is>
      </c>
      <c r="C5" s="22" t="inlineStr">
        <is>
          <t>https://www.gov.uk/vat-rates</t>
        </is>
      </c>
      <c r="D5" s="4" t="inlineStr">
        <is>
          <t>2026-08-06</t>
        </is>
      </c>
      <c r="E5" s="4" t="inlineStr">
        <is>
          <t>Standard rate 20%</t>
        </is>
      </c>
      <c r="F5" s="4" t="inlineStr">
        <is>
          <t>VAT config</t>
        </is>
      </c>
    </row>
    <row r="6">
      <c r="A6" s="4" t="inlineStr">
        <is>
          <t>HMRC VAT registration</t>
        </is>
      </c>
      <c r="B6" s="4" t="inlineStr">
        <is>
          <t>Registration/effective date</t>
        </is>
      </c>
      <c r="C6" s="22" t="inlineStr">
        <is>
          <t>https://www.gov.uk/register-for-vat</t>
        </is>
      </c>
      <c r="D6" s="4" t="inlineStr">
        <is>
          <t>2026-08-06</t>
        </is>
      </c>
      <c r="E6" s="4" t="inlineStr">
        <is>
          <t>Real VAT details required</t>
        </is>
      </c>
      <c r="F6" s="4" t="inlineStr">
        <is>
          <t>Fail-closed go-live</t>
        </is>
      </c>
    </row>
    <row r="7">
      <c r="A7" s="4" t="inlineStr">
        <is>
          <t>HMRC invoices</t>
        </is>
      </c>
      <c r="B7" s="4" t="inlineStr">
        <is>
          <t>VAT invoice fields</t>
        </is>
      </c>
      <c r="C7" s="22" t="inlineStr">
        <is>
          <t>https://www.gov.uk/invoicing-and-taking-payment-from-customers/invoices-what-they-must-include</t>
        </is>
      </c>
      <c r="D7" s="4" t="inlineStr">
        <is>
          <t>2026-08-06</t>
        </is>
      </c>
      <c r="E7" s="4" t="inlineStr">
        <is>
          <t>Invoice requirements</t>
        </is>
      </c>
      <c r="F7" s="4" t="inlineStr">
        <is>
          <t>Invoice specification</t>
        </is>
      </c>
    </row>
    <row r="8">
      <c r="A8" s="4" t="inlineStr">
        <is>
          <t>Stripe Payments UK</t>
        </is>
      </c>
      <c r="B8" s="4" t="inlineStr">
        <is>
          <t>Card fees</t>
        </is>
      </c>
      <c r="C8" s="22" t="inlineStr">
        <is>
          <t>https://stripe.com/gb/pricing</t>
        </is>
      </c>
      <c r="D8" s="4" t="inlineStr">
        <is>
          <t>2026-08-06</t>
        </is>
      </c>
      <c r="E8" s="4" t="inlineStr">
        <is>
          <t>1.5% + 20p UK cards</t>
        </is>
      </c>
      <c r="F8" s="4" t="inlineStr">
        <is>
          <t>Unit economics</t>
        </is>
      </c>
    </row>
    <row r="9">
      <c r="A9" s="4" t="inlineStr">
        <is>
          <t>Stripe Billing</t>
        </is>
      </c>
      <c r="B9" s="4" t="inlineStr">
        <is>
          <t>Billing fee</t>
        </is>
      </c>
      <c r="C9" s="22" t="inlineStr">
        <is>
          <t>https://stripe.com/gb/billing/pricing</t>
        </is>
      </c>
      <c r="D9" s="4" t="inlineStr">
        <is>
          <t>2026-08-06</t>
        </is>
      </c>
      <c r="E9" s="4" t="inlineStr">
        <is>
          <t>0.7% Billing volume</t>
        </is>
      </c>
      <c r="F9" s="4" t="inlineStr">
        <is>
          <t>Unit economics</t>
        </is>
      </c>
    </row>
    <row r="10">
      <c r="A10" s="4" t="inlineStr">
        <is>
          <t>Stripe trials</t>
        </is>
      </c>
      <c r="B10" s="4" t="inlineStr">
        <is>
          <t>No-card trial behaviour</t>
        </is>
      </c>
      <c r="C10" s="22" t="inlineStr">
        <is>
          <t>https://docs.stripe.com/billing/subscriptions/trials</t>
        </is>
      </c>
      <c r="D10" s="4" t="inlineStr">
        <is>
          <t>2026-08-06</t>
        </is>
      </c>
      <c r="E10" s="4" t="inlineStr">
        <is>
          <t>No payment method required</t>
        </is>
      </c>
      <c r="F10" s="4" t="inlineStr">
        <is>
          <t>Pilot model</t>
        </is>
      </c>
    </row>
    <row r="11">
      <c r="A11" s="4" t="inlineStr">
        <is>
          <t>Twilio UK SMS</t>
        </is>
      </c>
      <c r="B11" s="4" t="inlineStr">
        <is>
          <t>SMS pricing</t>
        </is>
      </c>
      <c r="C11" s="22" t="inlineStr">
        <is>
          <t>https://www.twilio.com/en-us/sms/pricing/gb</t>
        </is>
      </c>
      <c r="D11" s="4" t="inlineStr">
        <is>
          <t>2026-08-06</t>
        </is>
      </c>
      <c r="E11" s="4" t="inlineStr">
        <is>
          <t>Per segment</t>
        </is>
      </c>
      <c r="F11" s="4" t="inlineStr">
        <is>
          <t>SMS credits</t>
        </is>
      </c>
    </row>
    <row r="12">
      <c r="A12" s="4" t="inlineStr">
        <is>
          <t>Twilio character limits</t>
        </is>
      </c>
      <c r="B12" s="4" t="inlineStr">
        <is>
          <t>SMS segments</t>
        </is>
      </c>
      <c r="C12" s="22" t="inlineStr">
        <is>
          <t>https://www.twilio.com/docs/glossary/what-sms-character-limit</t>
        </is>
      </c>
      <c r="D12" s="4" t="inlineStr">
        <is>
          <t>2026-08-06</t>
        </is>
      </c>
      <c r="E12" s="4" t="inlineStr">
        <is>
          <t>160/153 GSM-7; 70/67 UCS-2</t>
        </is>
      </c>
      <c r="F12" s="4" t="inlineStr">
        <is>
          <t>Composer rules</t>
        </is>
      </c>
    </row>
    <row r="13">
      <c r="A13" s="4" t="inlineStr">
        <is>
          <t>Resend pricing</t>
        </is>
      </c>
      <c r="B13" s="4" t="inlineStr">
        <is>
          <t>Email pricing</t>
        </is>
      </c>
      <c r="C13" s="22" t="inlineStr">
        <is>
          <t>https://resend.com/docs/knowledge-base/what-is-resend-pricing</t>
        </is>
      </c>
      <c r="D13" s="4" t="inlineStr">
        <is>
          <t>2026-08-06</t>
        </is>
      </c>
      <c r="E13" s="4" t="inlineStr">
        <is>
          <t>Marketing is contact-based</t>
        </is>
      </c>
      <c r="F13" s="4" t="inlineStr">
        <is>
          <t>Provider adapter</t>
        </is>
      </c>
    </row>
    <row r="14">
      <c r="A14" s="4" t="inlineStr">
        <is>
          <t>Resend global Contacts</t>
        </is>
      </c>
      <c r="B14" s="4" t="inlineStr">
        <is>
          <t>Tenant risk</t>
        </is>
      </c>
      <c r="C14" s="22" t="inlineStr">
        <is>
          <t>https://resend.com/docs/dashboard/audiences/contacts</t>
        </is>
      </c>
      <c r="D14" s="4" t="inlineStr">
        <is>
          <t>2026-08-06</t>
        </is>
      </c>
      <c r="E14" s="4" t="inlineStr">
        <is>
          <t>Contacts global by email</t>
        </is>
      </c>
      <c r="F14" s="4" t="inlineStr">
        <is>
          <t>Do not hard-wire Broadcast Contacts</t>
        </is>
      </c>
    </row>
    <row r="15">
      <c r="A15" s="4" t="inlineStr">
        <is>
          <t>Resend multi-tenant guidance</t>
        </is>
      </c>
      <c r="B15" s="4" t="inlineStr">
        <is>
          <t>Architecture</t>
        </is>
      </c>
      <c r="C15" s="22" t="inlineStr">
        <is>
          <t>https://resend.com/docs/knowledge-base/setting-up-resend-for-multi-tenants</t>
        </is>
      </c>
      <c r="D15" s="4" t="inlineStr">
        <is>
          <t>2026-08-06</t>
        </is>
      </c>
      <c r="E15" s="4" t="inlineStr">
        <is>
          <t>Shared reputation and aggregate limits</t>
        </is>
      </c>
      <c r="F15" s="4" t="inlineStr">
        <is>
          <t>Provider abstraction</t>
        </is>
      </c>
    </row>
    <row r="16">
      <c r="A16" s="4" t="inlineStr">
        <is>
          <t>Resend acceptable use</t>
        </is>
      </c>
      <c r="B16" s="4" t="inlineStr">
        <is>
          <t>Deliverability thresholds</t>
        </is>
      </c>
      <c r="C16" s="22" t="inlineStr">
        <is>
          <t>https://resend.com/legal/acceptable-use</t>
        </is>
      </c>
      <c r="D16" s="4" t="inlineStr">
        <is>
          <t>2026-08-06</t>
        </is>
      </c>
      <c r="E16" s="4" t="inlineStr">
        <is>
          <t>Complaint &lt;0.08%; bounce &lt;4%</t>
        </is>
      </c>
      <c r="F16" s="4" t="inlineStr">
        <is>
          <t>Safety thresholds</t>
        </is>
      </c>
    </row>
    <row r="17">
      <c r="A17" s="4" t="inlineStr">
        <is>
          <t>Tummly cost analysis</t>
        </is>
      </c>
      <c r="B17" s="4" t="inlineStr">
        <is>
          <t>Vendor COGS</t>
        </is>
      </c>
      <c r="C17" s="22" t="inlineStr">
        <is>
          <t>channel-cost-analysis.pdf</t>
        </is>
      </c>
      <c r="D17" s="4" t="inlineStr">
        <is>
          <t>2026-08-06</t>
        </is>
      </c>
      <c r="E17" s="4" t="inlineStr">
        <is>
          <t>SMS dominates variable cost</t>
        </is>
      </c>
      <c r="F17" s="4" t="inlineStr">
        <is>
          <t>Meter SMS</t>
        </is>
      </c>
    </row>
    <row r="18">
      <c r="A18" s="4" t="inlineStr">
        <is>
          <t>Tummly questionnaire</t>
        </is>
      </c>
      <c r="B18" s="4" t="inlineStr">
        <is>
          <t>Commercial questions</t>
        </is>
      </c>
      <c r="C18" s="22" t="inlineStr">
        <is>
          <t>channel-credits-questionnaire (1).pdf</t>
        </is>
      </c>
      <c r="D18" s="4" t="inlineStr">
        <is>
          <t>2026-08-06</t>
        </is>
      </c>
      <c r="E18" s="4" t="inlineStr">
        <is>
          <t>Product must define rules</t>
        </is>
      </c>
      <c r="F18" s="4" t="inlineStr">
        <is>
          <t>Completed questionnaire</t>
        </is>
      </c>
    </row>
    <row r="19">
      <c r="A19" s="4" t="inlineStr">
        <is>
          <t>Tummly business model</t>
        </is>
      </c>
      <c r="B19" s="4" t="inlineStr">
        <is>
          <t>Commercial direction</t>
        </is>
      </c>
      <c r="C19" s="22" t="inlineStr">
        <is>
          <t>04_BUSINESS_MODEL_PRICING_AND_UNIT_ECONOMICS.md</t>
        </is>
      </c>
      <c r="D19" s="4" t="inlineStr">
        <is>
          <t>2026-08-06</t>
        </is>
      </c>
      <c r="E19" s="4" t="inlineStr">
        <is>
          <t>Subscription + credits</t>
        </is>
      </c>
      <c r="F19" s="4" t="inlineStr">
        <is>
          <t>Plan architecture</t>
        </is>
      </c>
    </row>
    <row r="20">
      <c r="A20" s="4" t="inlineStr">
        <is>
          <t>Tummly terms</t>
        </is>
      </c>
      <c r="B20" s="4" t="inlineStr">
        <is>
          <t>Customer billing rules</t>
        </is>
      </c>
      <c r="C20" s="22" t="inlineStr">
        <is>
          <t>Tummly_Terms_and_Conditions (1).docx</t>
        </is>
      </c>
      <c r="D20" s="4" t="inlineStr">
        <is>
          <t>2026-08-06</t>
        </is>
      </c>
      <c r="E20" s="4" t="inlineStr">
        <is>
          <t>Supports VAT, credits, renewal and Shop</t>
        </is>
      </c>
      <c r="F20" s="4" t="inlineStr">
        <is>
          <t>Terms alignment</t>
        </is>
      </c>
    </row>
  </sheetData>
  <autoFilter ref="A4:F20"/>
  <mergeCells count="2">
    <mergeCell ref="A2:F2"/>
    <mergeCell ref="A1:F1"/>
  </mergeCells>
  <pageMargins left="0.25" right="0.25" top="0.35" bottom="0.35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2026-08-06T23:09:22Z</dcterms:created>
  <dcterms:modified xmlns:dcterms="http://purl.org/dc/terms/" xmlns:xsi="http://www.w3.org/2001/XMLSchema-instance" xsi:type="dcterms:W3CDTF">2026-08-06T23:09:22Z</dcterms:modified>
</cp:coreProperties>
</file>